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codeName="ThisWorkbook"/>
  <xr:revisionPtr revIDLastSave="0" documentId="13_ncr:1_{F4BFC1A9-638E-475B-9AC7-FAFBE8A28429}" xr6:coauthVersionLast="47" xr6:coauthVersionMax="47" xr10:uidLastSave="{00000000-0000-0000-0000-000000000000}"/>
  <bookViews>
    <workbookView xWindow="-120" yWindow="-120" windowWidth="29040" windowHeight="15720" xr2:uid="{00000000-000D-0000-FFFF-FFFF00000000}"/>
  </bookViews>
  <sheets>
    <sheet name="calendarioproyecto" sheetId="11" r:id="rId1"/>
    <sheet name="DESCARGA DE RESPONSABILIDAD" sheetId="13" r:id="rId2"/>
  </sheets>
  <externalReferences>
    <externalReference r:id="rId3"/>
    <externalReference r:id="rId4"/>
    <externalReference r:id="rId5"/>
  </externalReferences>
  <definedNames>
    <definedName name="CIQWBGuid" hidden="1">"2cd8126d-26c3-430c-b7fa-a069e3a1fc62"</definedName>
    <definedName name="CODIGO1">[1]DIARIO!$C$12:$C$501</definedName>
    <definedName name="CODIGO2">[2]BALANCE!$A1</definedName>
    <definedName name="DEBE">[1]DIARIO!$F$12:$F$501</definedName>
    <definedName name="Fecha_final" localSheetId="0">calendarioproyecto!$F1</definedName>
    <definedName name="Fecha_incio" localSheetId="0">calendarioproyecto!$E1</definedName>
    <definedName name="HABER">[1]DIARIO!$G$12:$G$501</definedName>
    <definedName name="hoy" localSheetId="0">TODAY()</definedName>
    <definedName name="InicioDelProyecto">calendarioproyecto!$E$3</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41666.7099189815</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Progresos" localSheetId="0">calendarioproyecto!$D1</definedName>
    <definedName name="SemanaParaMostrar">calendarioproyecto!$E$4</definedName>
    <definedName name="_xlnm.Print_Titles" localSheetId="0">calendarioproyecto!$4:$6</definedName>
    <definedName name="Type">'[3]Maintenance Work Order'!#REF!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7" i="11" l="1"/>
  <c r="E3" i="11" l="1"/>
  <c r="I5" i="11" l="1"/>
  <c r="H48" i="11"/>
  <c r="H47" i="11"/>
  <c r="H24" i="11"/>
  <c r="H23" i="11"/>
  <c r="H22" i="11"/>
  <c r="H20" i="11"/>
  <c r="H15" i="11"/>
  <c r="H11" i="11"/>
  <c r="H8" i="11"/>
  <c r="E17" i="11" l="1"/>
  <c r="H9" i="11"/>
  <c r="I6" i="11"/>
  <c r="F10" i="11" l="1"/>
  <c r="H16" i="11"/>
  <c r="H17" i="11"/>
  <c r="H21" i="11"/>
  <c r="H12" i="11"/>
  <c r="J5" i="11"/>
  <c r="K5" i="11" s="1"/>
  <c r="L5" i="11" s="1"/>
  <c r="M5" i="11" s="1"/>
  <c r="N5" i="11" s="1"/>
  <c r="O5" i="11" s="1"/>
  <c r="P5" i="11" s="1"/>
  <c r="I4" i="11"/>
  <c r="H10" i="11" l="1"/>
  <c r="H19" i="11"/>
  <c r="H18" i="11"/>
  <c r="H14" i="11"/>
  <c r="P4" i="11"/>
  <c r="Q5" i="11"/>
  <c r="R5" i="11" s="1"/>
  <c r="S5" i="11" s="1"/>
  <c r="T5" i="11" s="1"/>
  <c r="U5" i="11" s="1"/>
  <c r="V5" i="11" s="1"/>
  <c r="W5" i="11" s="1"/>
  <c r="J6" i="11"/>
  <c r="W4" i="11" l="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M5" i="11" s="1"/>
  <c r="BK6" i="11"/>
  <c r="AF6" i="11"/>
  <c r="BN5" i="11" l="1"/>
  <c r="BM4" i="11"/>
  <c r="BM6" i="11"/>
  <c r="BL6" i="11"/>
  <c r="AG6" i="11"/>
  <c r="BN6" i="11" l="1"/>
  <c r="BO5" i="11"/>
  <c r="AH6" i="11"/>
  <c r="BP5" i="11" l="1"/>
  <c r="BO6" i="11"/>
  <c r="AI6" i="11"/>
  <c r="BQ5" i="11" l="1"/>
  <c r="BP6" i="11"/>
  <c r="AJ6" i="11"/>
  <c r="BR5" i="11" l="1"/>
  <c r="BQ6" i="11"/>
  <c r="AK6" i="11"/>
  <c r="BS5" i="11" l="1"/>
  <c r="BR6" i="11"/>
  <c r="AL6" i="11"/>
  <c r="BS6" i="11" l="1"/>
  <c r="BT5" i="11"/>
  <c r="AM6" i="11"/>
  <c r="BT6" i="11" l="1"/>
  <c r="BU5" i="11"/>
  <c r="BT4" i="11"/>
  <c r="AN6" i="11"/>
  <c r="BU6" i="11" l="1"/>
  <c r="BV5" i="11"/>
  <c r="AO6" i="11"/>
  <c r="BV6" i="11" l="1"/>
  <c r="BW5" i="11"/>
  <c r="AP6" i="11"/>
  <c r="BW6" i="11" l="1"/>
  <c r="BX5" i="11"/>
  <c r="AQ6" i="11"/>
  <c r="BY5" i="11" l="1"/>
  <c r="BX6" i="11"/>
  <c r="AR6" i="11"/>
  <c r="BY6" i="11" l="1"/>
  <c r="BZ5" i="11"/>
  <c r="BZ6" i="11" l="1"/>
  <c r="CA5" i="11"/>
  <c r="CA6" i="11" l="1"/>
  <c r="CB5" i="11"/>
  <c r="CA4" i="11"/>
  <c r="CB6" i="11" l="1"/>
  <c r="CC5" i="11"/>
  <c r="CC6" i="11" l="1"/>
  <c r="CD5" i="11"/>
  <c r="CD6" i="11" l="1"/>
  <c r="CE5" i="11"/>
  <c r="CE6" i="11" l="1"/>
  <c r="CF5" i="11"/>
  <c r="CF6" i="11" l="1"/>
  <c r="CG5" i="11"/>
  <c r="CG6" i="11" s="1"/>
</calcChain>
</file>

<file path=xl/sharedStrings.xml><?xml version="1.0" encoding="utf-8"?>
<sst xmlns="http://schemas.openxmlformats.org/spreadsheetml/2006/main" count="75" uniqueCount="69">
  <si>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</si>
  <si>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Escriba el nombre de la compañía en la celda B2.</t>
  </si>
  <si>
    <t>Escriba el nombre del responsable del proyecto en la celda B3. Escriba la fecha de comienzo del proyecto en la celda E3. Inicio del proyecto: la etiqueta se encuentra en la celda C3.</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</si>
  <si>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</si>
  <si>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</si>
  <si>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</si>
  <si>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 xml:space="preserve">No elimine esta fila. Esta fila está oculta para conservar una fórmula que se usa para resaltar el día actual dentro de la programación del proyecto. </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</si>
  <si>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</si>
  <si>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</si>
  <si>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</si>
  <si>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</si>
  <si>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Bloque de título fase de ejemplo</t>
  </si>
  <si>
    <t>Esta es una fila vacía.</t>
  </si>
  <si>
    <t>Esta fila indica el final de la programación del proyecto. NO escriba nada en esta fila. 
Inserte nuevas filas encima de ésta para continuar creando la programación del proyecto.</t>
  </si>
  <si>
    <t>TAREA</t>
  </si>
  <si>
    <t>Inserte nuevas filas ENCIMA de ésta</t>
  </si>
  <si>
    <t>Inicio del proyecto:</t>
  </si>
  <si>
    <t>Semana para mostrar:</t>
  </si>
  <si>
    <t>ASIGNADO
A</t>
  </si>
  <si>
    <t>Nombre</t>
  </si>
  <si>
    <t>PROGRESO</t>
  </si>
  <si>
    <t>INICIO</t>
  </si>
  <si>
    <t>fecha</t>
  </si>
  <si>
    <t>FIN</t>
  </si>
  <si>
    <t>DÍAS</t>
  </si>
  <si>
    <t xml:space="preserve">GRÁFICO GANTT  </t>
  </si>
  <si>
    <t>Cualquier artículo, plantilla o información proporcionada por Siempreexcel en el sitio web es solo para referencia y uso educactivo. Si bien nos esforzamos por mantener la información actualizada y correcta, no hacemos representaciones ni garantías de ningún tipo, expresas o implícitas, sobre la integridad, precisión, fiabilidad o disponibilidad con respecto al sitio web o la información, artículos, plantillas o gráficos relacionados contenidos en el sitio web. Por lo tanto, cualquier confianza que deposite en dicha información es estrictamente bajo su propio riesgo.</t>
  </si>
  <si>
    <t>Épica J - Integración y despliegue mínimo</t>
  </si>
  <si>
    <t>HDU J1 - Variables de entorno y configuración (6 hrs)</t>
  </si>
  <si>
    <t>HDU J2 - Despliegue inicial en Azure App Services(4 hrs)</t>
  </si>
  <si>
    <t>Épica A - Estructura y navegación del sitio</t>
  </si>
  <si>
    <t>HDU A2 - Barra de navegación y footer (4 hrs)</t>
  </si>
  <si>
    <t>HDU A1 - Landing publica (4 hrs)</t>
  </si>
  <si>
    <t>HDU A3 - Correcciones (2 hrs)</t>
  </si>
  <si>
    <t>Épica B - Cuenta, seguridad y roles</t>
  </si>
  <si>
    <t>HDU B1 - Registro de clientes(6 hrs)</t>
  </si>
  <si>
    <t>HDU B2 - Inicio de sesión (4 hrs)</t>
  </si>
  <si>
    <t>HDU B3 - Roles (6 hrs)</t>
  </si>
  <si>
    <t>(Pendiente) B4 - Recuperación de contraseña (4 hrs)</t>
  </si>
  <si>
    <t>Épica C - UI CRUD principales</t>
  </si>
  <si>
    <t>HDU C1 - CRUD Clientes (10 hrs)</t>
  </si>
  <si>
    <t xml:space="preserve">HDU C2 - CRUD Vehículos y relación (12 hrs) </t>
  </si>
  <si>
    <t>(Pendiente) C3 - CRUD Mécanicos (6 hrs)</t>
  </si>
  <si>
    <t>(Pendiente) C4 - CRUD Atención/Servicios (12 hrs)</t>
  </si>
  <si>
    <t>Épica D - Agenda y Calendario</t>
  </si>
  <si>
    <t>HDU D1 - Calendario de citas (10 hrs)</t>
  </si>
  <si>
    <t>HDU D2 - Solicitud de cita (6 hrs)</t>
  </si>
  <si>
    <t>(Pendiente) D3 - Confirmar/Reprogramar/Cancelar</t>
  </si>
  <si>
    <t>Épica E - Bitácora y archivo</t>
  </si>
  <si>
    <t>HDU E1 - Subida de evidencias (8 hrs)</t>
  </si>
  <si>
    <t>(Pendiente) Visualizar bitácora cliente ( 6hrs)</t>
  </si>
  <si>
    <t>Épica F - Reportes y Documentos</t>
  </si>
  <si>
    <t>HDU F1 - Reporte de atenciones (6 hrs)</t>
  </si>
  <si>
    <t>Épica G - UX y accesibilidad</t>
  </si>
  <si>
    <t>HDU G1 - Responsividad móvil (4 hrs)</t>
  </si>
  <si>
    <t>(Pendiente) G2 - Accesibilidad básica (6 hrs)</t>
  </si>
  <si>
    <t>(Pendiente) G3 - Estados vacíos/skeletons ( 4 hrs)</t>
  </si>
  <si>
    <t>Épica H - Rendimiento y errores</t>
  </si>
  <si>
    <t>HDU H1 - Páginas de error 404/500 (4 hrs)</t>
  </si>
  <si>
    <t>HDU H2 - Notificaciones/toasts (4 hrs)</t>
  </si>
  <si>
    <t>Épica I - Cumplimiento y privacidad</t>
  </si>
  <si>
    <t xml:space="preserve">HDU I2 - CSP / anti-XXS (5 hrs) </t>
  </si>
  <si>
    <t>(Pendiente) I1- Politicas /privacidad/cookies (3 hrs)</t>
  </si>
  <si>
    <t>Épica UI - Mejoras de interfaz</t>
  </si>
  <si>
    <t>HDU UI2 - Modal Confirmación (3 hrs)</t>
  </si>
  <si>
    <t>HDU UI1 - Busqueda incremental (4 hrs)</t>
  </si>
  <si>
    <t>MechaGestionApp</t>
  </si>
  <si>
    <t>CarMar SA</t>
  </si>
  <si>
    <t>Carlos Herrera / Marcelo Escobar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</si>
</sst>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_(* #,##0_);_(* \(#,##0\);_(* &quot;-&quot;_);_(@_)"/>
    <numFmt numFmtId="165" formatCode="_(* #,##0.00_);_(* \(#,##0.00\);_(* &quot;-&quot;??_);_(@_)"/>
    <numFmt numFmtId="166" formatCode="_-* #,##0\ &quot;€&quot;_-;\-* #,##0\ &quot;€&quot;_-;_-* &quot;-&quot;\ &quot;€&quot;_-;_-@_-"/>
    <numFmt numFmtId="167" formatCode="_-* #,##0.00\ &quot;€&quot;_-;\-* #,##0.00\ &quot;€&quot;_-;_-* &quot;-&quot;??\ &quot;€&quot;_-;_-@_-"/>
    <numFmt numFmtId="168" formatCode="m/d/yy;@"/>
    <numFmt numFmtId="169" formatCode="d\-m\-yy;@"/>
    <numFmt numFmtId="170" formatCode="ddd\,\ dd/mm/yyyy"/>
    <numFmt numFmtId="171" formatCode="mmm\ &quot;de&quot;\ yyyy"/>
    <numFmt numFmtId="172" formatCode="d"/>
  </numFmts>
  <fonts count="31"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2"/>
      <color theme="1"/>
      <name val="Arial"/>
      <family val="2"/>
    </font>
    <font>
      <sz val="9"/>
      <color theme="0"/>
      <name val="Calibri"/>
      <family val="2"/>
      <scheme val="minor"/>
    </font>
    <font>
      <u/>
      <sz val="11"/>
      <name val="Calibri"/>
      <family val="2"/>
      <scheme val="minor"/>
    </font>
  </fonts>
  <fills count="5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50"/>
        <bgColor indexed="64"/>
      </patternFill>
    </fill>
    <fill>
      <patternFill patternType="solid">
        <fgColor rgb="FF00B050"/>
        <bgColor theme="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2" tint="-0.499984740745262"/>
        <bgColor indexed="64"/>
      </patternFill>
    </fill>
    <fill>
      <patternFill patternType="solid">
        <fgColor theme="2" tint="-9.9978637043366805E-2"/>
        <bgColor indexed="64"/>
      </patternFill>
    </fill>
    <fill>
      <patternFill patternType="solid">
        <fgColor theme="7" tint="0.39997558519241921"/>
        <bgColor indexed="64"/>
      </patternFill>
    </fill>
    <fill>
      <patternFill patternType="solid">
        <fgColor theme="3" tint="0.39997558519241921"/>
        <bgColor indexed="64"/>
      </patternFill>
    </fill>
    <fill>
      <patternFill patternType="solid">
        <fgColor theme="3" tint="0.79998168889431442"/>
        <bgColor indexed="64"/>
      </patternFill>
    </fill>
    <fill>
      <patternFill patternType="solid">
        <fgColor theme="6" tint="0.39997558519241921"/>
        <bgColor indexed="64"/>
      </patternFill>
    </fill>
  </fills>
  <borders count="18">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ck">
        <color theme="0" tint="-0.34998626667073579"/>
      </left>
      <right/>
      <top/>
      <bottom/>
      <diagonal/>
    </border>
  </borders>
  <cellStyleXfs count="55">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15" fillId="0" borderId="0"/>
    <xf numFmtId="165" fontId="9" fillId="0" borderId="3" applyFont="0" applyFill="0" applyAlignment="0" applyProtection="0"/>
    <xf numFmtId="0" fontId="12"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70" fontId="9" fillId="0" borderId="3">
      <alignment horizontal="center" vertical="center"/>
    </xf>
    <xf numFmtId="168"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16" fillId="0" borderId="0" applyNumberFormat="0" applyFill="0" applyBorder="0" applyAlignment="0" applyProtection="0"/>
    <xf numFmtId="164" fontId="9" fillId="0" borderId="0" applyFont="0" applyFill="0" applyBorder="0" applyAlignment="0" applyProtection="0"/>
    <xf numFmtId="167" fontId="9" fillId="0" borderId="0" applyFont="0" applyFill="0" applyBorder="0" applyAlignment="0" applyProtection="0"/>
    <xf numFmtId="166" fontId="9" fillId="0" borderId="0" applyFont="0" applyFill="0" applyBorder="0" applyAlignment="0" applyProtection="0"/>
    <xf numFmtId="0" fontId="17" fillId="0" borderId="0" applyNumberFormat="0" applyFill="0" applyBorder="0" applyAlignment="0" applyProtection="0"/>
    <xf numFmtId="0" fontId="18" fillId="11" borderId="0" applyNumberFormat="0" applyBorder="0" applyAlignment="0" applyProtection="0"/>
    <xf numFmtId="0" fontId="19" fillId="12" borderId="0" applyNumberFormat="0" applyBorder="0" applyAlignment="0" applyProtection="0"/>
    <xf numFmtId="0" fontId="20" fillId="13" borderId="0" applyNumberFormat="0" applyBorder="0" applyAlignment="0" applyProtection="0"/>
    <xf numFmtId="0" fontId="21" fillId="14" borderId="11" applyNumberFormat="0" applyAlignment="0" applyProtection="0"/>
    <xf numFmtId="0" fontId="22" fillId="15" borderId="12" applyNumberFormat="0" applyAlignment="0" applyProtection="0"/>
    <xf numFmtId="0" fontId="23" fillId="15" borderId="11" applyNumberFormat="0" applyAlignment="0" applyProtection="0"/>
    <xf numFmtId="0" fontId="24" fillId="0" borderId="13" applyNumberFormat="0" applyFill="0" applyAlignment="0" applyProtection="0"/>
    <xf numFmtId="0" fontId="25" fillId="16" borderId="14" applyNumberFormat="0" applyAlignment="0" applyProtection="0"/>
    <xf numFmtId="0" fontId="26" fillId="0" borderId="0" applyNumberFormat="0" applyFill="0" applyBorder="0" applyAlignment="0" applyProtection="0"/>
    <xf numFmtId="0" fontId="9" fillId="17" borderId="15" applyNumberFormat="0" applyFont="0" applyAlignment="0" applyProtection="0"/>
    <xf numFmtId="0" fontId="27" fillId="0" borderId="0" applyNumberFormat="0" applyFill="0" applyBorder="0" applyAlignment="0" applyProtection="0"/>
    <xf numFmtId="0" fontId="6" fillId="0" borderId="16" applyNumberFormat="0" applyFill="0" applyAlignment="0" applyProtection="0"/>
    <xf numFmtId="0" fontId="15"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15"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15"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15"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15"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15"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9" fillId="41" borderId="0" applyNumberFormat="0" applyBorder="0" applyAlignment="0" applyProtection="0"/>
    <xf numFmtId="0" fontId="9" fillId="0" borderId="0"/>
  </cellStyleXfs>
  <cellXfs count="136">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13" fillId="0" borderId="0" xfId="0" applyFont="1"/>
    <xf numFmtId="0" fontId="14"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7" borderId="2" xfId="0" applyFont="1" applyFill="1" applyBorder="1" applyAlignment="1">
      <alignment horizontal="left" vertical="center" indent="1"/>
    </xf>
    <xf numFmtId="9" fontId="5" fillId="7"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9" fontId="5" fillId="10"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9"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15" fillId="0" borderId="0" xfId="3"/>
    <xf numFmtId="0" fontId="15" fillId="0" borderId="0" xfId="3" applyAlignment="1">
      <alignment wrapText="1"/>
    </xf>
    <xf numFmtId="0" fontId="15" fillId="0" borderId="0" xfId="0" applyFont="1" applyAlignment="1">
      <alignment horizontal="center"/>
    </xf>
    <xf numFmtId="0" fontId="14" fillId="0" borderId="0" xfId="1" applyFont="1" applyProtection="1">
      <alignment vertical="top"/>
    </xf>
    <xf numFmtId="0" fontId="0" fillId="0" borderId="0" xfId="0" applyAlignment="1">
      <alignment wrapText="1"/>
    </xf>
    <xf numFmtId="0" fontId="12" fillId="0" borderId="0" xfId="5" applyAlignment="1">
      <alignment horizontal="left"/>
    </xf>
    <xf numFmtId="0" fontId="10" fillId="0" borderId="0" xfId="6"/>
    <xf numFmtId="0" fontId="10" fillId="0" borderId="0" xfId="7">
      <alignment vertical="top"/>
    </xf>
    <xf numFmtId="0" fontId="9" fillId="7" borderId="2" xfId="11" applyFill="1">
      <alignment horizontal="center" vertical="center"/>
    </xf>
    <xf numFmtId="0" fontId="9" fillId="3" borderId="2" xfId="11" applyFill="1">
      <alignment horizontal="center" vertical="center"/>
    </xf>
    <xf numFmtId="0" fontId="9" fillId="8"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0" borderId="2" xfId="11" applyFill="1">
      <alignment horizontal="center" vertical="center"/>
    </xf>
    <xf numFmtId="0" fontId="9" fillId="5" borderId="2" xfId="11" applyFill="1">
      <alignment horizontal="center" vertical="center"/>
    </xf>
    <xf numFmtId="0" fontId="9" fillId="9"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0" borderId="2" xfId="12" applyFill="1">
      <alignment horizontal="left" vertical="center" indent="2"/>
    </xf>
    <xf numFmtId="0" fontId="9" fillId="9" borderId="2" xfId="12" applyFill="1">
      <alignment horizontal="left" vertical="center" indent="2"/>
    </xf>
    <xf numFmtId="0" fontId="9" fillId="0" borderId="2" xfId="12">
      <alignment horizontal="left" vertical="center" indent="2"/>
    </xf>
    <xf numFmtId="169" fontId="0" fillId="7" borderId="2" xfId="0" applyNumberFormat="1" applyFill="1" applyBorder="1" applyAlignment="1">
      <alignment horizontal="center" vertical="center"/>
    </xf>
    <xf numFmtId="169" fontId="5" fillId="7" borderId="2" xfId="0" applyNumberFormat="1" applyFont="1" applyFill="1" applyBorder="1" applyAlignment="1">
      <alignment horizontal="center" vertical="center"/>
    </xf>
    <xf numFmtId="169" fontId="9" fillId="3" borderId="2" xfId="10" applyNumberFormat="1" applyFill="1">
      <alignment horizontal="center" vertical="center"/>
    </xf>
    <xf numFmtId="169" fontId="0" fillId="8" borderId="2" xfId="0" applyNumberFormat="1" applyFill="1" applyBorder="1" applyAlignment="1">
      <alignment horizontal="center" vertical="center"/>
    </xf>
    <xf numFmtId="169" fontId="5" fillId="8" borderId="2" xfId="0" applyNumberFormat="1" applyFont="1" applyFill="1" applyBorder="1" applyAlignment="1">
      <alignment horizontal="center" vertical="center"/>
    </xf>
    <xf numFmtId="169" fontId="9" fillId="4" borderId="2" xfId="10" applyNumberFormat="1" applyFill="1">
      <alignment horizontal="center" vertical="center"/>
    </xf>
    <xf numFmtId="169" fontId="0" fillId="6" borderId="2" xfId="0" applyNumberFormat="1" applyFill="1" applyBorder="1" applyAlignment="1">
      <alignment horizontal="center" vertical="center"/>
    </xf>
    <xf numFmtId="169" fontId="5" fillId="6" borderId="2" xfId="0" applyNumberFormat="1" applyFont="1" applyFill="1" applyBorder="1" applyAlignment="1">
      <alignment horizontal="center" vertical="center"/>
    </xf>
    <xf numFmtId="169" fontId="9" fillId="10" borderId="2" xfId="10" applyNumberFormat="1" applyFill="1">
      <alignment horizontal="center" vertical="center"/>
    </xf>
    <xf numFmtId="169" fontId="0" fillId="5" borderId="2" xfId="0" applyNumberFormat="1" applyFill="1" applyBorder="1" applyAlignment="1">
      <alignment horizontal="center" vertical="center"/>
    </xf>
    <xf numFmtId="169" fontId="5" fillId="5" borderId="2" xfId="0" applyNumberFormat="1" applyFont="1" applyFill="1" applyBorder="1" applyAlignment="1">
      <alignment horizontal="center" vertical="center"/>
    </xf>
    <xf numFmtId="169" fontId="9" fillId="9" borderId="2" xfId="10" applyNumberFormat="1" applyFill="1">
      <alignment horizontal="center" vertical="center"/>
    </xf>
    <xf numFmtId="169" fontId="9" fillId="0" borderId="2" xfId="10" applyNumberFormat="1">
      <alignment horizontal="center" vertical="center"/>
    </xf>
    <xf numFmtId="169" fontId="4" fillId="2" borderId="2" xfId="0" applyNumberFormat="1" applyFont="1" applyFill="1" applyBorder="1" applyAlignment="1">
      <alignment horizontal="left" vertical="center"/>
    </xf>
    <xf numFmtId="169" fontId="5" fillId="2" borderId="2" xfId="0" applyNumberFormat="1" applyFont="1" applyFill="1" applyBorder="1" applyAlignment="1">
      <alignment horizontal="center" vertical="center"/>
    </xf>
    <xf numFmtId="0" fontId="9" fillId="0" borderId="0" xfId="54"/>
    <xf numFmtId="0" fontId="28" fillId="0" borderId="17" xfId="54" applyFont="1" applyBorder="1" applyAlignment="1">
      <alignment horizontal="left" vertical="center" wrapText="1" indent="2"/>
    </xf>
    <xf numFmtId="0" fontId="7" fillId="43" borderId="1" xfId="0" applyFont="1" applyFill="1" applyBorder="1" applyAlignment="1">
      <alignment horizontal="left" vertical="center" indent="1"/>
    </xf>
    <xf numFmtId="0" fontId="7" fillId="43" borderId="1" xfId="0" applyFont="1" applyFill="1" applyBorder="1" applyAlignment="1">
      <alignment horizontal="center" vertical="center" wrapText="1"/>
    </xf>
    <xf numFmtId="0" fontId="11" fillId="42" borderId="8" xfId="0" applyFont="1" applyFill="1" applyBorder="1" applyAlignment="1">
      <alignment horizontal="center" vertical="center" shrinkToFit="1"/>
    </xf>
    <xf numFmtId="172" fontId="29" fillId="42" borderId="6" xfId="0" applyNumberFormat="1" applyFont="1" applyFill="1" applyBorder="1" applyAlignment="1">
      <alignment horizontal="center" vertical="center"/>
    </xf>
    <xf numFmtId="172" fontId="29" fillId="42" borderId="0" xfId="0" applyNumberFormat="1" applyFont="1" applyFill="1" applyAlignment="1">
      <alignment horizontal="center" vertical="center"/>
    </xf>
    <xf numFmtId="172" fontId="29" fillId="42" borderId="7" xfId="0" applyNumberFormat="1" applyFont="1" applyFill="1" applyBorder="1" applyAlignment="1">
      <alignment horizontal="center" vertical="center"/>
    </xf>
    <xf numFmtId="0" fontId="9" fillId="44" borderId="2" xfId="12" applyFill="1">
      <alignment horizontal="left" vertical="center" indent="2"/>
    </xf>
    <xf numFmtId="0" fontId="9" fillId="44" borderId="2" xfId="11" applyFill="1">
      <alignment horizontal="center" vertical="center"/>
    </xf>
    <xf numFmtId="9" fontId="5" fillId="44" borderId="2" xfId="2" applyFont="1" applyFill="1" applyBorder="1" applyAlignment="1">
      <alignment horizontal="center" vertical="center"/>
    </xf>
    <xf numFmtId="169" fontId="9" fillId="44" borderId="2" xfId="10" applyNumberFormat="1" applyFill="1">
      <alignment horizontal="center" vertical="center"/>
    </xf>
    <xf numFmtId="9" fontId="30" fillId="10" borderId="2" xfId="2" applyFont="1" applyFill="1" applyBorder="1" applyAlignment="1">
      <alignment horizontal="center" vertical="center"/>
    </xf>
    <xf numFmtId="0" fontId="6" fillId="45" borderId="2" xfId="0" applyFont="1" applyFill="1" applyBorder="1" applyAlignment="1">
      <alignment horizontal="left" vertical="center" indent="1"/>
    </xf>
    <xf numFmtId="0" fontId="9" fillId="45" borderId="2" xfId="11" applyFill="1">
      <alignment horizontal="center" vertical="center"/>
    </xf>
    <xf numFmtId="9" fontId="5" fillId="45" borderId="2" xfId="2" applyFont="1" applyFill="1" applyBorder="1" applyAlignment="1">
      <alignment horizontal="center" vertical="center"/>
    </xf>
    <xf numFmtId="169" fontId="0" fillId="45" borderId="2" xfId="0" applyNumberFormat="1" applyFill="1" applyBorder="1" applyAlignment="1">
      <alignment horizontal="center" vertical="center"/>
    </xf>
    <xf numFmtId="169" fontId="5" fillId="45" borderId="2" xfId="0" applyNumberFormat="1" applyFont="1" applyFill="1" applyBorder="1" applyAlignment="1">
      <alignment horizontal="center" vertical="center"/>
    </xf>
    <xf numFmtId="0" fontId="9" fillId="46" borderId="2" xfId="12" applyFill="1">
      <alignment horizontal="left" vertical="center" indent="2"/>
    </xf>
    <xf numFmtId="0" fontId="9" fillId="46" borderId="2" xfId="11" applyFill="1">
      <alignment horizontal="center" vertical="center"/>
    </xf>
    <xf numFmtId="9" fontId="5" fillId="46" borderId="2" xfId="2" applyFont="1" applyFill="1" applyBorder="1" applyAlignment="1">
      <alignment horizontal="center" vertical="center"/>
    </xf>
    <xf numFmtId="169" fontId="9" fillId="46" borderId="2" xfId="10" applyNumberFormat="1" applyFill="1">
      <alignment horizontal="center" vertical="center"/>
    </xf>
    <xf numFmtId="0" fontId="6" fillId="47" borderId="2" xfId="0" applyFont="1" applyFill="1" applyBorder="1" applyAlignment="1">
      <alignment horizontal="left" vertical="center" indent="1"/>
    </xf>
    <xf numFmtId="0" fontId="9" fillId="47" borderId="2" xfId="11" applyFill="1">
      <alignment horizontal="center" vertical="center"/>
    </xf>
    <xf numFmtId="9" fontId="5" fillId="47" borderId="2" xfId="2" applyFont="1" applyFill="1" applyBorder="1" applyAlignment="1">
      <alignment horizontal="center" vertical="center"/>
    </xf>
    <xf numFmtId="169" fontId="0" fillId="47" borderId="2" xfId="0" applyNumberFormat="1" applyFill="1" applyBorder="1" applyAlignment="1">
      <alignment horizontal="center" vertical="center"/>
    </xf>
    <xf numFmtId="169" fontId="5" fillId="47" borderId="2" xfId="0" applyNumberFormat="1" applyFont="1" applyFill="1" applyBorder="1" applyAlignment="1">
      <alignment horizontal="center" vertical="center"/>
    </xf>
    <xf numFmtId="0" fontId="6" fillId="48" borderId="2" xfId="0" applyFont="1" applyFill="1" applyBorder="1" applyAlignment="1">
      <alignment horizontal="left" vertical="center" indent="1"/>
    </xf>
    <xf numFmtId="0" fontId="9" fillId="48" borderId="2" xfId="11" applyFill="1">
      <alignment horizontal="center" vertical="center"/>
    </xf>
    <xf numFmtId="9" fontId="5" fillId="48" borderId="2" xfId="2" applyFont="1" applyFill="1" applyBorder="1" applyAlignment="1">
      <alignment horizontal="center" vertical="center"/>
    </xf>
    <xf numFmtId="169" fontId="0" fillId="48" borderId="2" xfId="0" applyNumberFormat="1" applyFill="1" applyBorder="1" applyAlignment="1">
      <alignment horizontal="center" vertical="center"/>
    </xf>
    <xf numFmtId="169" fontId="5" fillId="48" borderId="2" xfId="0" applyNumberFormat="1" applyFont="1" applyFill="1" applyBorder="1" applyAlignment="1">
      <alignment horizontal="center" vertical="center"/>
    </xf>
    <xf numFmtId="0" fontId="6" fillId="49" borderId="2" xfId="0" applyFont="1" applyFill="1" applyBorder="1" applyAlignment="1">
      <alignment horizontal="left" vertical="center" indent="1"/>
    </xf>
    <xf numFmtId="0" fontId="9" fillId="49" borderId="2" xfId="11" applyFill="1">
      <alignment horizontal="center" vertical="center"/>
    </xf>
    <xf numFmtId="9" fontId="5" fillId="49" borderId="2" xfId="2" applyFont="1" applyFill="1" applyBorder="1" applyAlignment="1">
      <alignment horizontal="center" vertical="center"/>
    </xf>
    <xf numFmtId="169" fontId="0" fillId="49" borderId="2" xfId="0" applyNumberFormat="1" applyFill="1" applyBorder="1" applyAlignment="1">
      <alignment horizontal="center" vertical="center"/>
    </xf>
    <xf numFmtId="169" fontId="5" fillId="49" borderId="2" xfId="0" applyNumberFormat="1" applyFont="1" applyFill="1" applyBorder="1" applyAlignment="1">
      <alignment horizontal="center" vertical="center"/>
    </xf>
    <xf numFmtId="0" fontId="9" fillId="50" borderId="2" xfId="12" applyFill="1">
      <alignment horizontal="left" vertical="center" indent="2"/>
    </xf>
    <xf numFmtId="0" fontId="9" fillId="50" borderId="2" xfId="11" applyFill="1">
      <alignment horizontal="center" vertical="center"/>
    </xf>
    <xf numFmtId="9" fontId="5" fillId="50" borderId="2" xfId="2" applyFont="1" applyFill="1" applyBorder="1" applyAlignment="1">
      <alignment horizontal="center" vertical="center"/>
    </xf>
    <xf numFmtId="169" fontId="9" fillId="50" borderId="2" xfId="10" applyNumberFormat="1" applyFill="1">
      <alignment horizontal="center" vertical="center"/>
    </xf>
    <xf numFmtId="0" fontId="9" fillId="51" borderId="2" xfId="11" applyFill="1">
      <alignment horizontal="center" vertical="center"/>
    </xf>
    <xf numFmtId="9" fontId="5" fillId="51" borderId="2" xfId="2" applyFont="1" applyFill="1" applyBorder="1" applyAlignment="1">
      <alignment horizontal="center" vertical="center"/>
    </xf>
    <xf numFmtId="0" fontId="6" fillId="51" borderId="2" xfId="0" applyFont="1" applyFill="1" applyBorder="1" applyAlignment="1">
      <alignment horizontal="left" vertical="center" indent="1"/>
    </xf>
    <xf numFmtId="169" fontId="0" fillId="51" borderId="2" xfId="0" applyNumberFormat="1" applyFill="1" applyBorder="1" applyAlignment="1">
      <alignment horizontal="center" vertical="center"/>
    </xf>
    <xf numFmtId="169" fontId="5" fillId="51" borderId="2" xfId="0" applyNumberFormat="1" applyFont="1" applyFill="1" applyBorder="1" applyAlignment="1">
      <alignment horizontal="center" vertical="center"/>
    </xf>
    <xf numFmtId="0" fontId="6" fillId="52" borderId="2" xfId="0" applyFont="1" applyFill="1" applyBorder="1" applyAlignment="1">
      <alignment horizontal="left" vertical="center" indent="1"/>
    </xf>
    <xf numFmtId="0" fontId="9" fillId="52" borderId="2" xfId="11" applyFill="1">
      <alignment horizontal="center" vertical="center"/>
    </xf>
    <xf numFmtId="9" fontId="5" fillId="52" borderId="2" xfId="2" applyFont="1" applyFill="1" applyBorder="1" applyAlignment="1">
      <alignment horizontal="center" vertical="center"/>
    </xf>
    <xf numFmtId="169" fontId="0" fillId="52" borderId="2" xfId="0" applyNumberFormat="1" applyFill="1" applyBorder="1" applyAlignment="1">
      <alignment horizontal="center" vertical="center"/>
    </xf>
    <xf numFmtId="169" fontId="5" fillId="52" borderId="2" xfId="0" applyNumberFormat="1" applyFont="1" applyFill="1" applyBorder="1" applyAlignment="1">
      <alignment horizontal="center" vertical="center"/>
    </xf>
    <xf numFmtId="0" fontId="9" fillId="53" borderId="2" xfId="12" applyFill="1">
      <alignment horizontal="left" vertical="center" indent="2"/>
    </xf>
    <xf numFmtId="0" fontId="9" fillId="53" borderId="2" xfId="11" applyFill="1">
      <alignment horizontal="center" vertical="center"/>
    </xf>
    <xf numFmtId="9" fontId="5" fillId="53" borderId="2" xfId="2" applyFont="1" applyFill="1" applyBorder="1" applyAlignment="1">
      <alignment horizontal="center" vertical="center"/>
    </xf>
    <xf numFmtId="169" fontId="9" fillId="53" borderId="2" xfId="10" applyNumberFormat="1" applyFill="1">
      <alignment horizontal="center" vertical="center"/>
    </xf>
    <xf numFmtId="0" fontId="6" fillId="54" borderId="2" xfId="0" applyFont="1" applyFill="1" applyBorder="1" applyAlignment="1">
      <alignment horizontal="left" vertical="center" indent="1"/>
    </xf>
    <xf numFmtId="0" fontId="9" fillId="54" borderId="2" xfId="11" applyFill="1">
      <alignment horizontal="center" vertical="center"/>
    </xf>
    <xf numFmtId="9" fontId="5" fillId="54" borderId="2" xfId="2" applyFont="1" applyFill="1" applyBorder="1" applyAlignment="1">
      <alignment horizontal="center" vertical="center"/>
    </xf>
    <xf numFmtId="169" fontId="0" fillId="54" borderId="2" xfId="0" applyNumberFormat="1" applyFill="1" applyBorder="1" applyAlignment="1">
      <alignment horizontal="center" vertical="center"/>
    </xf>
    <xf numFmtId="169" fontId="5" fillId="54" borderId="2" xfId="0" applyNumberFormat="1" applyFont="1" applyFill="1" applyBorder="1" applyAlignment="1">
      <alignment horizontal="center" vertical="center"/>
    </xf>
    <xf numFmtId="0" fontId="0" fillId="0" borderId="10" xfId="0" applyBorder="1"/>
    <xf numFmtId="171" fontId="15" fillId="42" borderId="4" xfId="0" applyNumberFormat="1" applyFont="1" applyFill="1" applyBorder="1" applyAlignment="1">
      <alignment horizontal="left" vertical="center" wrapText="1" indent="1"/>
    </xf>
    <xf numFmtId="171" fontId="15" fillId="42" borderId="1" xfId="0" applyNumberFormat="1" applyFont="1" applyFill="1" applyBorder="1" applyAlignment="1">
      <alignment horizontal="left" vertical="center" wrapText="1" indent="1"/>
    </xf>
    <xf numFmtId="171" fontId="15" fillId="42" borderId="5" xfId="0" applyNumberFormat="1" applyFont="1" applyFill="1" applyBorder="1" applyAlignment="1">
      <alignment horizontal="left" vertical="center" wrapText="1" indent="1"/>
    </xf>
    <xf numFmtId="0" fontId="9" fillId="0" borderId="0" xfId="8">
      <alignment horizontal="right" indent="1"/>
    </xf>
    <xf numFmtId="0" fontId="9" fillId="0" borderId="7" xfId="8" applyBorder="1">
      <alignment horizontal="right" indent="1"/>
    </xf>
    <xf numFmtId="170" fontId="9" fillId="0" borderId="3" xfId="9">
      <alignment horizontal="center" vertical="center"/>
    </xf>
  </cellXfs>
  <cellStyles count="55">
    <cellStyle name="20% - Énfasis1" xfId="31" builtinId="30" customBuiltin="1"/>
    <cellStyle name="20% - Énfasis2" xfId="35" builtinId="34" customBuiltin="1"/>
    <cellStyle name="20% - Énfasis3" xfId="39" builtinId="38" customBuiltin="1"/>
    <cellStyle name="20% - Énfasis4" xfId="43" builtinId="42" customBuiltin="1"/>
    <cellStyle name="20% - Énfasis5" xfId="47" builtinId="46" customBuiltin="1"/>
    <cellStyle name="20% - Énfasis6" xfId="51" builtinId="50" customBuiltin="1"/>
    <cellStyle name="40% - Énfasis1" xfId="32" builtinId="31" customBuiltin="1"/>
    <cellStyle name="40% - Énfasis2" xfId="36" builtinId="35" customBuiltin="1"/>
    <cellStyle name="40% - Énfasis3" xfId="40" builtinId="39" customBuiltin="1"/>
    <cellStyle name="40% - Énfasis4" xfId="44" builtinId="43" customBuiltin="1"/>
    <cellStyle name="40% - Énfasis5" xfId="48" builtinId="47" customBuiltin="1"/>
    <cellStyle name="40% - Énfasis6" xfId="52" builtinId="51" customBuiltin="1"/>
    <cellStyle name="60% - Énfasis1" xfId="33" builtinId="32" customBuiltin="1"/>
    <cellStyle name="60% - Énfasis2" xfId="37" builtinId="36" customBuiltin="1"/>
    <cellStyle name="60% - Énfasis3" xfId="41" builtinId="40" customBuiltin="1"/>
    <cellStyle name="60% - Énfasis4" xfId="45" builtinId="44" customBuiltin="1"/>
    <cellStyle name="60% - Énfasis5" xfId="49" builtinId="48" customBuiltin="1"/>
    <cellStyle name="60% - Énfasis6" xfId="53" builtinId="52" customBuiltin="1"/>
    <cellStyle name="Bueno" xfId="18" builtinId="26" customBuiltin="1"/>
    <cellStyle name="Cálculo" xfId="23" builtinId="22" customBuiltin="1"/>
    <cellStyle name="Celda de comprobación" xfId="25" builtinId="23" customBuiltin="1"/>
    <cellStyle name="Celda vinculada" xfId="24" builtinId="24" customBuiltin="1"/>
    <cellStyle name="Encabezado 1" xfId="6" builtinId="16" customBuiltin="1"/>
    <cellStyle name="Encabezado 4" xfId="17" builtinId="19" customBuiltin="1"/>
    <cellStyle name="Énfasis1" xfId="30" builtinId="29" customBuiltin="1"/>
    <cellStyle name="Énfasis2" xfId="34" builtinId="33" customBuiltin="1"/>
    <cellStyle name="Énfasis3" xfId="38" builtinId="37" customBuiltin="1"/>
    <cellStyle name="Énfasis4" xfId="42" builtinId="41" customBuiltin="1"/>
    <cellStyle name="Énfasis5" xfId="46" builtinId="45" customBuiltin="1"/>
    <cellStyle name="Énfasis6" xfId="50" builtinId="49" customBuiltin="1"/>
    <cellStyle name="Entrada" xfId="21" builtinId="20" customBuiltin="1"/>
    <cellStyle name="Fecha" xfId="10" xr:uid="{00000000-0005-0000-0000-00001F000000}"/>
    <cellStyle name="Hipervínculo" xfId="1" builtinId="8" customBuiltin="1"/>
    <cellStyle name="Hipervínculo visitado" xfId="13" builtinId="9" customBuiltin="1"/>
    <cellStyle name="Incorrecto" xfId="19" builtinId="27" customBuiltin="1"/>
    <cellStyle name="Inicio del proyecto" xfId="9" xr:uid="{00000000-0005-0000-0000-000023000000}"/>
    <cellStyle name="Millares" xfId="4" builtinId="3" customBuiltin="1"/>
    <cellStyle name="Millares [0]" xfId="14" builtinId="6" customBuiltin="1"/>
    <cellStyle name="Moneda" xfId="15" builtinId="4" customBuiltin="1"/>
    <cellStyle name="Moneda [0]" xfId="16" builtinId="7" customBuiltin="1"/>
    <cellStyle name="Neutral" xfId="20" builtinId="28" customBuiltin="1"/>
    <cellStyle name="Nombre" xfId="11" xr:uid="{00000000-0005-0000-0000-000029000000}"/>
    <cellStyle name="Normal" xfId="0" builtinId="0" customBuiltin="1"/>
    <cellStyle name="Normal 2 2 2" xfId="54" xr:uid="{951B45BF-94F6-492D-A7A8-2AA37DF577F4}"/>
    <cellStyle name="Notas" xfId="27" builtinId="10" customBuiltin="1"/>
    <cellStyle name="Porcentaje" xfId="2" builtinId="5" customBuiltin="1"/>
    <cellStyle name="Salida" xfId="22" builtinId="21" customBuiltin="1"/>
    <cellStyle name="Tarea" xfId="12" xr:uid="{00000000-0005-0000-0000-00002E000000}"/>
    <cellStyle name="Texto de advertencia" xfId="26" builtinId="11" customBuiltin="1"/>
    <cellStyle name="Texto explicativo" xfId="28" builtinId="53" customBuiltin="1"/>
    <cellStyle name="Título" xfId="5" builtinId="15" customBuiltin="1"/>
    <cellStyle name="Título 2" xfId="7" builtinId="17" customBuiltin="1"/>
    <cellStyle name="Título 3" xfId="8" builtinId="18" customBuiltin="1"/>
    <cellStyle name="Total" xfId="29" builtinId="25" customBuiltin="1"/>
    <cellStyle name="zTextoOculto" xfId="3" xr:uid="{00000000-0005-0000-0000-000035000000}"/>
  </cellStyles>
  <dxfs count="14">
    <dxf>
      <fill>
        <patternFill>
          <bgColor rgb="FF00B0F0"/>
        </patternFill>
      </fill>
      <border>
        <left/>
        <right/>
      </border>
    </dxf>
    <dxf>
      <border>
        <left style="thin">
          <color rgb="FFC00000"/>
        </left>
        <right style="thin">
          <color rgb="FFC00000"/>
        </right>
        <vertical/>
        <horizontal/>
      </border>
    </dxf>
    <dxf>
      <fill>
        <patternFill>
          <bgColor rgb="FF00B050"/>
        </patternFill>
      </fill>
    </dxf>
    <dxf>
      <fill>
        <patternFill>
          <bgColor rgb="FF00B0F0"/>
        </patternFill>
      </fill>
      <border>
        <left/>
        <right/>
      </border>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xr9:uid="{00000000-0011-0000-FFFF-FFFF00000000}">
      <tableStyleElement type="wholeTable" dxfId="13"/>
      <tableStyleElement type="headerRow" dxfId="12"/>
      <tableStyleElement type="totalRow" dxfId="11"/>
      <tableStyleElement type="firstColumn" dxfId="10"/>
      <tableStyleElement type="lastColumn" dxfId="9"/>
      <tableStyleElement type="firstRowStripe" dxfId="8"/>
      <tableStyleElement type="secondRowStripe" dxfId="7"/>
      <tableStyleElement type="firstColumnStripe" dxfId="6"/>
      <tableStyleElement type="secondColumnStripe" dxfId="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siempreexcel.com/plantillas-de-excel/"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1</xdr:row>
      <xdr:rowOff>676275</xdr:rowOff>
    </xdr:from>
    <xdr:to>
      <xdr:col>1</xdr:col>
      <xdr:colOff>2899293</xdr:colOff>
      <xdr:row>1</xdr:row>
      <xdr:rowOff>1066800</xdr:rowOff>
    </xdr:to>
    <xdr:pic>
      <xdr:nvPicPr>
        <xdr:cNvPr id="2" name="Imagen 1">
          <a:hlinkClick xmlns:r="http://schemas.openxmlformats.org/officeDocument/2006/relationships" r:id="rId1"/>
          <a:extLst>
            <a:ext uri="{FF2B5EF4-FFF2-40B4-BE49-F238E27FC236}">
              <a16:creationId xmlns:a16="http://schemas.microsoft.com/office/drawing/2014/main" id="{6FCA8BBF-0C9B-461F-9BF3-0E85602F963B}"/>
            </a:ext>
          </a:extLst>
        </xdr:cNvPr>
        <xdr:cNvPicPr>
          <a:picLocks noChangeAspect="1"/>
        </xdr:cNvPicPr>
      </xdr:nvPicPr>
      <xdr:blipFill>
        <a:blip xmlns:r="http://schemas.openxmlformats.org/officeDocument/2006/relationships" r:embed="rId2"/>
        <a:stretch>
          <a:fillRect/>
        </a:stretch>
      </xdr:blipFill>
      <xdr:spPr>
        <a:xfrm>
          <a:off x="76200" y="923925"/>
          <a:ext cx="3042168" cy="3905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imagenes\plantillas\Libro-diario-exce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Aneudy/Pictures/plantillas/Hoja%20de%20balance.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RIO"/>
      <sheetName val="MAYOR"/>
      <sheetName val="BALANCE"/>
      <sheetName val="RESULTADO"/>
    </sheetNames>
    <sheetDataSet>
      <sheetData sheetId="0">
        <row r="12">
          <cell r="C12" t="str">
            <v>1.1.1.01</v>
          </cell>
          <cell r="F12">
            <v>5000</v>
          </cell>
        </row>
        <row r="13">
          <cell r="C13" t="str">
            <v>4.1.1.01</v>
          </cell>
          <cell r="G13">
            <v>5000</v>
          </cell>
        </row>
        <row r="14">
          <cell r="C14" t="str">
            <v>5.1.1.1</v>
          </cell>
          <cell r="F14">
            <v>4000</v>
          </cell>
        </row>
        <row r="15">
          <cell r="C15" t="str">
            <v>1.1.4.01</v>
          </cell>
          <cell r="G15">
            <v>4000</v>
          </cell>
        </row>
      </sheetData>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DESCARGA DE RESPONSABILIDAD"/>
    </sheetNames>
    <sheetDataSet>
      <sheetData sheetId="0"/>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G51"/>
  <sheetViews>
    <sheetView showGridLines="0" tabSelected="1" showRuler="0" topLeftCell="B1" zoomScale="85" zoomScaleNormal="85" zoomScalePageLayoutView="70" workbookViewId="0">
      <pane ySplit="6" topLeftCell="A8" activePane="bottomLeft" state="frozen"/>
      <selection pane="bottomLeft" activeCell="D40" sqref="D40"/>
    </sheetView>
  </sheetViews>
  <sheetFormatPr baseColWidth="10" defaultColWidth="9.140625" defaultRowHeight="30" customHeight="1" x14ac:dyDescent="0.25"/>
  <cols>
    <col min="1" max="1" width="2.7109375" style="32" customWidth="1"/>
    <col min="2" max="2" width="54.85546875" customWidth="1"/>
    <col min="3" max="3" width="23.85546875" customWidth="1"/>
    <col min="4" max="4" width="10.7109375" customWidth="1"/>
    <col min="5" max="5" width="10.42578125" style="5" customWidth="1"/>
    <col min="6" max="6" width="10.42578125" customWidth="1"/>
    <col min="7" max="7" width="2.7109375" customWidth="1"/>
    <col min="8" max="8" width="6.140625" hidden="1" customWidth="1"/>
    <col min="9" max="85" width="2.5703125" customWidth="1"/>
    <col min="90" max="91" width="10.28515625"/>
  </cols>
  <sheetData>
    <row r="1" spans="1:85" ht="30" customHeight="1" x14ac:dyDescent="0.45">
      <c r="A1" s="33" t="s">
        <v>0</v>
      </c>
      <c r="B1" s="37" t="s">
        <v>66</v>
      </c>
      <c r="C1" s="1"/>
      <c r="D1" s="2"/>
      <c r="E1" s="4"/>
      <c r="F1" s="31"/>
      <c r="H1" s="2"/>
      <c r="I1" t="s">
        <v>25</v>
      </c>
    </row>
    <row r="2" spans="1:85" ht="30" customHeight="1" x14ac:dyDescent="0.3">
      <c r="A2" s="32" t="s">
        <v>1</v>
      </c>
      <c r="B2" s="38" t="s">
        <v>67</v>
      </c>
      <c r="I2" s="35"/>
    </row>
    <row r="3" spans="1:85" ht="30" customHeight="1" x14ac:dyDescent="0.25">
      <c r="A3" s="32" t="s">
        <v>2</v>
      </c>
      <c r="B3" s="39" t="s">
        <v>68</v>
      </c>
      <c r="C3" s="133" t="s">
        <v>16</v>
      </c>
      <c r="D3" s="134"/>
      <c r="E3" s="135">
        <f ca="1">TODAY()</f>
        <v>45982</v>
      </c>
      <c r="F3" s="135"/>
    </row>
    <row r="4" spans="1:85" ht="30" customHeight="1" x14ac:dyDescent="0.25">
      <c r="A4" s="33" t="s">
        <v>3</v>
      </c>
      <c r="C4" s="133" t="s">
        <v>17</v>
      </c>
      <c r="D4" s="134"/>
      <c r="E4" s="7">
        <v>-6</v>
      </c>
      <c r="I4" s="130">
        <f ca="1">I5</f>
        <v>45929</v>
      </c>
      <c r="J4" s="131"/>
      <c r="K4" s="131"/>
      <c r="L4" s="131"/>
      <c r="M4" s="131"/>
      <c r="N4" s="131"/>
      <c r="O4" s="132"/>
      <c r="P4" s="130">
        <f ca="1">P5</f>
        <v>45936</v>
      </c>
      <c r="Q4" s="131"/>
      <c r="R4" s="131"/>
      <c r="S4" s="131"/>
      <c r="T4" s="131"/>
      <c r="U4" s="131"/>
      <c r="V4" s="132"/>
      <c r="W4" s="130">
        <f ca="1">W5</f>
        <v>45943</v>
      </c>
      <c r="X4" s="131"/>
      <c r="Y4" s="131"/>
      <c r="Z4" s="131"/>
      <c r="AA4" s="131"/>
      <c r="AB4" s="131"/>
      <c r="AC4" s="132"/>
      <c r="AD4" s="130">
        <f ca="1">AD5</f>
        <v>45950</v>
      </c>
      <c r="AE4" s="131"/>
      <c r="AF4" s="131"/>
      <c r="AG4" s="131"/>
      <c r="AH4" s="131"/>
      <c r="AI4" s="131"/>
      <c r="AJ4" s="132"/>
      <c r="AK4" s="130">
        <f ca="1">AK5</f>
        <v>45957</v>
      </c>
      <c r="AL4" s="131"/>
      <c r="AM4" s="131"/>
      <c r="AN4" s="131"/>
      <c r="AO4" s="131"/>
      <c r="AP4" s="131"/>
      <c r="AQ4" s="132"/>
      <c r="AR4" s="130">
        <f ca="1">AR5</f>
        <v>45964</v>
      </c>
      <c r="AS4" s="131"/>
      <c r="AT4" s="131"/>
      <c r="AU4" s="131"/>
      <c r="AV4" s="131"/>
      <c r="AW4" s="131"/>
      <c r="AX4" s="132"/>
      <c r="AY4" s="130">
        <f ca="1">AY5</f>
        <v>45971</v>
      </c>
      <c r="AZ4" s="131"/>
      <c r="BA4" s="131"/>
      <c r="BB4" s="131"/>
      <c r="BC4" s="131"/>
      <c r="BD4" s="131"/>
      <c r="BE4" s="132"/>
      <c r="BF4" s="130">
        <f ca="1">BF5</f>
        <v>45978</v>
      </c>
      <c r="BG4" s="131"/>
      <c r="BH4" s="131"/>
      <c r="BI4" s="131"/>
      <c r="BJ4" s="131"/>
      <c r="BK4" s="131"/>
      <c r="BL4" s="132"/>
      <c r="BM4" s="130">
        <f ca="1">BM5</f>
        <v>45985</v>
      </c>
      <c r="BN4" s="131"/>
      <c r="BO4" s="131"/>
      <c r="BP4" s="131"/>
      <c r="BQ4" s="131"/>
      <c r="BR4" s="131"/>
      <c r="BS4" s="132"/>
      <c r="BT4" s="130">
        <f ca="1">BT5</f>
        <v>45992</v>
      </c>
      <c r="BU4" s="131"/>
      <c r="BV4" s="131"/>
      <c r="BW4" s="131"/>
      <c r="BX4" s="131"/>
      <c r="BY4" s="131"/>
      <c r="BZ4" s="132"/>
      <c r="CA4" s="130">
        <f ca="1">CA5</f>
        <v>45999</v>
      </c>
      <c r="CB4" s="131"/>
      <c r="CC4" s="131"/>
      <c r="CD4" s="131"/>
      <c r="CE4" s="131"/>
      <c r="CF4" s="131"/>
      <c r="CG4" s="132"/>
    </row>
    <row r="5" spans="1:85" ht="15" customHeight="1" x14ac:dyDescent="0.25">
      <c r="A5" s="33" t="s">
        <v>4</v>
      </c>
      <c r="B5" s="129"/>
      <c r="C5" s="129"/>
      <c r="D5" s="129"/>
      <c r="E5" s="129"/>
      <c r="F5" s="129"/>
      <c r="G5" s="129"/>
      <c r="I5" s="74">
        <f ca="1">InicioDelProyecto-WEEKDAY(InicioDelProyecto,1)+2+7*(SemanaParaMostrar-1)</f>
        <v>45929</v>
      </c>
      <c r="J5" s="75">
        <f ca="1">I5+1</f>
        <v>45930</v>
      </c>
      <c r="K5" s="75">
        <f t="shared" ref="K5:AX5" ca="1" si="0">J5+1</f>
        <v>45931</v>
      </c>
      <c r="L5" s="75">
        <f t="shared" ca="1" si="0"/>
        <v>45932</v>
      </c>
      <c r="M5" s="75">
        <f t="shared" ca="1" si="0"/>
        <v>45933</v>
      </c>
      <c r="N5" s="75">
        <f t="shared" ca="1" si="0"/>
        <v>45934</v>
      </c>
      <c r="O5" s="76">
        <f t="shared" ca="1" si="0"/>
        <v>45935</v>
      </c>
      <c r="P5" s="74">
        <f ca="1">O5+1</f>
        <v>45936</v>
      </c>
      <c r="Q5" s="75">
        <f ca="1">P5+1</f>
        <v>45937</v>
      </c>
      <c r="R5" s="75">
        <f t="shared" ca="1" si="0"/>
        <v>45938</v>
      </c>
      <c r="S5" s="75">
        <f t="shared" ca="1" si="0"/>
        <v>45939</v>
      </c>
      <c r="T5" s="75">
        <f t="shared" ca="1" si="0"/>
        <v>45940</v>
      </c>
      <c r="U5" s="75">
        <f t="shared" ca="1" si="0"/>
        <v>45941</v>
      </c>
      <c r="V5" s="76">
        <f t="shared" ca="1" si="0"/>
        <v>45942</v>
      </c>
      <c r="W5" s="74">
        <f ca="1">V5+1</f>
        <v>45943</v>
      </c>
      <c r="X5" s="75">
        <f ca="1">W5+1</f>
        <v>45944</v>
      </c>
      <c r="Y5" s="75">
        <f t="shared" ca="1" si="0"/>
        <v>45945</v>
      </c>
      <c r="Z5" s="75">
        <f t="shared" ca="1" si="0"/>
        <v>45946</v>
      </c>
      <c r="AA5" s="75">
        <f t="shared" ca="1" si="0"/>
        <v>45947</v>
      </c>
      <c r="AB5" s="75">
        <f t="shared" ca="1" si="0"/>
        <v>45948</v>
      </c>
      <c r="AC5" s="76">
        <f t="shared" ca="1" si="0"/>
        <v>45949</v>
      </c>
      <c r="AD5" s="74">
        <f ca="1">AC5+1</f>
        <v>45950</v>
      </c>
      <c r="AE5" s="75">
        <f ca="1">AD5+1</f>
        <v>45951</v>
      </c>
      <c r="AF5" s="75">
        <f t="shared" ca="1" si="0"/>
        <v>45952</v>
      </c>
      <c r="AG5" s="75">
        <f t="shared" ca="1" si="0"/>
        <v>45953</v>
      </c>
      <c r="AH5" s="75">
        <f t="shared" ca="1" si="0"/>
        <v>45954</v>
      </c>
      <c r="AI5" s="75">
        <f t="shared" ca="1" si="0"/>
        <v>45955</v>
      </c>
      <c r="AJ5" s="76">
        <f t="shared" ca="1" si="0"/>
        <v>45956</v>
      </c>
      <c r="AK5" s="74">
        <f ca="1">AJ5+1</f>
        <v>45957</v>
      </c>
      <c r="AL5" s="75">
        <f ca="1">AK5+1</f>
        <v>45958</v>
      </c>
      <c r="AM5" s="75">
        <f t="shared" ca="1" si="0"/>
        <v>45959</v>
      </c>
      <c r="AN5" s="75">
        <f t="shared" ca="1" si="0"/>
        <v>45960</v>
      </c>
      <c r="AO5" s="75">
        <f t="shared" ca="1" si="0"/>
        <v>45961</v>
      </c>
      <c r="AP5" s="75">
        <f t="shared" ca="1" si="0"/>
        <v>45962</v>
      </c>
      <c r="AQ5" s="76">
        <f t="shared" ca="1" si="0"/>
        <v>45963</v>
      </c>
      <c r="AR5" s="74">
        <f ca="1">AQ5+1</f>
        <v>45964</v>
      </c>
      <c r="AS5" s="75">
        <f ca="1">AR5+1</f>
        <v>45965</v>
      </c>
      <c r="AT5" s="75">
        <f t="shared" ca="1" si="0"/>
        <v>45966</v>
      </c>
      <c r="AU5" s="75">
        <f t="shared" ca="1" si="0"/>
        <v>45967</v>
      </c>
      <c r="AV5" s="75">
        <f t="shared" ca="1" si="0"/>
        <v>45968</v>
      </c>
      <c r="AW5" s="75">
        <f t="shared" ca="1" si="0"/>
        <v>45969</v>
      </c>
      <c r="AX5" s="76">
        <f t="shared" ca="1" si="0"/>
        <v>45970</v>
      </c>
      <c r="AY5" s="74">
        <f ca="1">AX5+1</f>
        <v>45971</v>
      </c>
      <c r="AZ5" s="75">
        <f ca="1">AY5+1</f>
        <v>45972</v>
      </c>
      <c r="BA5" s="75">
        <f t="shared" ref="BA5:BE5" ca="1" si="1">AZ5+1</f>
        <v>45973</v>
      </c>
      <c r="BB5" s="75">
        <f t="shared" ca="1" si="1"/>
        <v>45974</v>
      </c>
      <c r="BC5" s="75">
        <f t="shared" ca="1" si="1"/>
        <v>45975</v>
      </c>
      <c r="BD5" s="75">
        <f t="shared" ca="1" si="1"/>
        <v>45976</v>
      </c>
      <c r="BE5" s="76">
        <f t="shared" ca="1" si="1"/>
        <v>45977</v>
      </c>
      <c r="BF5" s="74">
        <f ca="1">BE5+1</f>
        <v>45978</v>
      </c>
      <c r="BG5" s="75">
        <f ca="1">BF5+1</f>
        <v>45979</v>
      </c>
      <c r="BH5" s="75">
        <f t="shared" ref="BH5:BL5" ca="1" si="2">BG5+1</f>
        <v>45980</v>
      </c>
      <c r="BI5" s="75">
        <f t="shared" ca="1" si="2"/>
        <v>45981</v>
      </c>
      <c r="BJ5" s="75">
        <f t="shared" ca="1" si="2"/>
        <v>45982</v>
      </c>
      <c r="BK5" s="75">
        <f t="shared" ca="1" si="2"/>
        <v>45983</v>
      </c>
      <c r="BL5" s="76">
        <f t="shared" ca="1" si="2"/>
        <v>45984</v>
      </c>
      <c r="BM5" s="74">
        <f ca="1">BL5+1</f>
        <v>45985</v>
      </c>
      <c r="BN5" s="75">
        <f ca="1">BM5+1</f>
        <v>45986</v>
      </c>
      <c r="BO5" s="75">
        <f t="shared" ref="BO5" ca="1" si="3">BN5+1</f>
        <v>45987</v>
      </c>
      <c r="BP5" s="75">
        <f t="shared" ref="BP5" ca="1" si="4">BO5+1</f>
        <v>45988</v>
      </c>
      <c r="BQ5" s="75">
        <f t="shared" ref="BQ5" ca="1" si="5">BP5+1</f>
        <v>45989</v>
      </c>
      <c r="BR5" s="75">
        <f t="shared" ref="BR5" ca="1" si="6">BQ5+1</f>
        <v>45990</v>
      </c>
      <c r="BS5" s="76">
        <f t="shared" ref="BS5" ca="1" si="7">BR5+1</f>
        <v>45991</v>
      </c>
      <c r="BT5" s="74">
        <f ca="1">BS5+1</f>
        <v>45992</v>
      </c>
      <c r="BU5" s="75">
        <f ca="1">BT5+1</f>
        <v>45993</v>
      </c>
      <c r="BV5" s="75">
        <f t="shared" ref="BV5" ca="1" si="8">BU5+1</f>
        <v>45994</v>
      </c>
      <c r="BW5" s="75">
        <f t="shared" ref="BW5" ca="1" si="9">BV5+1</f>
        <v>45995</v>
      </c>
      <c r="BX5" s="75">
        <f t="shared" ref="BX5" ca="1" si="10">BW5+1</f>
        <v>45996</v>
      </c>
      <c r="BY5" s="75">
        <f t="shared" ref="BY5" ca="1" si="11">BX5+1</f>
        <v>45997</v>
      </c>
      <c r="BZ5" s="76">
        <f t="shared" ref="BZ5" ca="1" si="12">BY5+1</f>
        <v>45998</v>
      </c>
      <c r="CA5" s="74">
        <f ca="1">BZ5+1</f>
        <v>45999</v>
      </c>
      <c r="CB5" s="75">
        <f ca="1">CA5+1</f>
        <v>46000</v>
      </c>
      <c r="CC5" s="75">
        <f t="shared" ref="CC5" ca="1" si="13">CB5+1</f>
        <v>46001</v>
      </c>
      <c r="CD5" s="75">
        <f t="shared" ref="CD5" ca="1" si="14">CC5+1</f>
        <v>46002</v>
      </c>
      <c r="CE5" s="75">
        <f t="shared" ref="CE5" ca="1" si="15">CD5+1</f>
        <v>46003</v>
      </c>
      <c r="CF5" s="75">
        <f t="shared" ref="CF5" ca="1" si="16">CE5+1</f>
        <v>46004</v>
      </c>
      <c r="CG5" s="76">
        <f t="shared" ref="CG5" ca="1" si="17">CF5+1</f>
        <v>46005</v>
      </c>
    </row>
    <row r="6" spans="1:85" ht="30" customHeight="1" thickBot="1" x14ac:dyDescent="0.3">
      <c r="A6" s="33" t="s">
        <v>5</v>
      </c>
      <c r="B6" s="71" t="s">
        <v>14</v>
      </c>
      <c r="C6" s="72" t="s">
        <v>18</v>
      </c>
      <c r="D6" s="72" t="s">
        <v>20</v>
      </c>
      <c r="E6" s="72" t="s">
        <v>21</v>
      </c>
      <c r="F6" s="72" t="s">
        <v>23</v>
      </c>
      <c r="G6" s="72"/>
      <c r="H6" s="72" t="s">
        <v>24</v>
      </c>
      <c r="I6" s="73" t="str">
        <f t="shared" ref="I6" ca="1" si="18">LEFT(TEXT(I5,"ddd"),1)</f>
        <v>l</v>
      </c>
      <c r="J6" s="73" t="str">
        <f t="shared" ref="J6:AR6" ca="1" si="19">LEFT(TEXT(J5,"ddd"),1)</f>
        <v>m</v>
      </c>
      <c r="K6" s="73" t="str">
        <f t="shared" ca="1" si="19"/>
        <v>m</v>
      </c>
      <c r="L6" s="73" t="str">
        <f t="shared" ca="1" si="19"/>
        <v>j</v>
      </c>
      <c r="M6" s="73" t="str">
        <f t="shared" ca="1" si="19"/>
        <v>v</v>
      </c>
      <c r="N6" s="73" t="str">
        <f t="shared" ca="1" si="19"/>
        <v>s</v>
      </c>
      <c r="O6" s="73" t="str">
        <f t="shared" ca="1" si="19"/>
        <v>d</v>
      </c>
      <c r="P6" s="73" t="str">
        <f t="shared" ca="1" si="19"/>
        <v>l</v>
      </c>
      <c r="Q6" s="73" t="str">
        <f t="shared" ca="1" si="19"/>
        <v>m</v>
      </c>
      <c r="R6" s="73" t="str">
        <f t="shared" ca="1" si="19"/>
        <v>m</v>
      </c>
      <c r="S6" s="73" t="str">
        <f t="shared" ca="1" si="19"/>
        <v>j</v>
      </c>
      <c r="T6" s="73" t="str">
        <f t="shared" ca="1" si="19"/>
        <v>v</v>
      </c>
      <c r="U6" s="73" t="str">
        <f t="shared" ca="1" si="19"/>
        <v>s</v>
      </c>
      <c r="V6" s="73" t="str">
        <f t="shared" ca="1" si="19"/>
        <v>d</v>
      </c>
      <c r="W6" s="73" t="str">
        <f t="shared" ca="1" si="19"/>
        <v>l</v>
      </c>
      <c r="X6" s="73" t="str">
        <f t="shared" ca="1" si="19"/>
        <v>m</v>
      </c>
      <c r="Y6" s="73" t="str">
        <f t="shared" ca="1" si="19"/>
        <v>m</v>
      </c>
      <c r="Z6" s="73" t="str">
        <f t="shared" ca="1" si="19"/>
        <v>j</v>
      </c>
      <c r="AA6" s="73" t="str">
        <f t="shared" ca="1" si="19"/>
        <v>v</v>
      </c>
      <c r="AB6" s="73" t="str">
        <f t="shared" ca="1" si="19"/>
        <v>s</v>
      </c>
      <c r="AC6" s="73" t="str">
        <f t="shared" ca="1" si="19"/>
        <v>d</v>
      </c>
      <c r="AD6" s="73" t="str">
        <f t="shared" ca="1" si="19"/>
        <v>l</v>
      </c>
      <c r="AE6" s="73" t="str">
        <f t="shared" ca="1" si="19"/>
        <v>m</v>
      </c>
      <c r="AF6" s="73" t="str">
        <f t="shared" ca="1" si="19"/>
        <v>m</v>
      </c>
      <c r="AG6" s="73" t="str">
        <f t="shared" ca="1" si="19"/>
        <v>j</v>
      </c>
      <c r="AH6" s="73" t="str">
        <f t="shared" ca="1" si="19"/>
        <v>v</v>
      </c>
      <c r="AI6" s="73" t="str">
        <f t="shared" ca="1" si="19"/>
        <v>s</v>
      </c>
      <c r="AJ6" s="73" t="str">
        <f t="shared" ca="1" si="19"/>
        <v>d</v>
      </c>
      <c r="AK6" s="73" t="str">
        <f t="shared" ca="1" si="19"/>
        <v>l</v>
      </c>
      <c r="AL6" s="73" t="str">
        <f t="shared" ca="1" si="19"/>
        <v>m</v>
      </c>
      <c r="AM6" s="73" t="str">
        <f t="shared" ca="1" si="19"/>
        <v>m</v>
      </c>
      <c r="AN6" s="73" t="str">
        <f t="shared" ca="1" si="19"/>
        <v>j</v>
      </c>
      <c r="AO6" s="73" t="str">
        <f t="shared" ca="1" si="19"/>
        <v>v</v>
      </c>
      <c r="AP6" s="73" t="str">
        <f t="shared" ca="1" si="19"/>
        <v>s</v>
      </c>
      <c r="AQ6" s="73" t="str">
        <f t="shared" ca="1" si="19"/>
        <v>d</v>
      </c>
      <c r="AR6" s="73" t="str">
        <f t="shared" ca="1" si="19"/>
        <v>l</v>
      </c>
      <c r="AS6" s="73" t="str">
        <f t="shared" ref="AS6:BL6" ca="1" si="20">LEFT(TEXT(AS5,"ddd"),1)</f>
        <v>m</v>
      </c>
      <c r="AT6" s="73" t="str">
        <f t="shared" ca="1" si="20"/>
        <v>m</v>
      </c>
      <c r="AU6" s="73" t="str">
        <f t="shared" ca="1" si="20"/>
        <v>j</v>
      </c>
      <c r="AV6" s="73" t="str">
        <f t="shared" ca="1" si="20"/>
        <v>v</v>
      </c>
      <c r="AW6" s="73" t="str">
        <f t="shared" ca="1" si="20"/>
        <v>s</v>
      </c>
      <c r="AX6" s="73" t="str">
        <f t="shared" ca="1" si="20"/>
        <v>d</v>
      </c>
      <c r="AY6" s="73" t="str">
        <f t="shared" ca="1" si="20"/>
        <v>l</v>
      </c>
      <c r="AZ6" s="73" t="str">
        <f t="shared" ca="1" si="20"/>
        <v>m</v>
      </c>
      <c r="BA6" s="73" t="str">
        <f t="shared" ca="1" si="20"/>
        <v>m</v>
      </c>
      <c r="BB6" s="73" t="str">
        <f t="shared" ca="1" si="20"/>
        <v>j</v>
      </c>
      <c r="BC6" s="73" t="str">
        <f t="shared" ca="1" si="20"/>
        <v>v</v>
      </c>
      <c r="BD6" s="73" t="str">
        <f t="shared" ca="1" si="20"/>
        <v>s</v>
      </c>
      <c r="BE6" s="73" t="str">
        <f t="shared" ca="1" si="20"/>
        <v>d</v>
      </c>
      <c r="BF6" s="73" t="str">
        <f t="shared" ca="1" si="20"/>
        <v>l</v>
      </c>
      <c r="BG6" s="73" t="str">
        <f t="shared" ca="1" si="20"/>
        <v>m</v>
      </c>
      <c r="BH6" s="73" t="str">
        <f t="shared" ca="1" si="20"/>
        <v>m</v>
      </c>
      <c r="BI6" s="73" t="str">
        <f t="shared" ca="1" si="20"/>
        <v>j</v>
      </c>
      <c r="BJ6" s="73" t="str">
        <f t="shared" ca="1" si="20"/>
        <v>v</v>
      </c>
      <c r="BK6" s="73" t="str">
        <f t="shared" ca="1" si="20"/>
        <v>s</v>
      </c>
      <c r="BL6" s="73" t="str">
        <f t="shared" ca="1" si="20"/>
        <v>d</v>
      </c>
      <c r="BM6" s="73" t="str">
        <f t="shared" ref="BM6:BS6" ca="1" si="21">LEFT(TEXT(BM5,"ddd"),1)</f>
        <v>l</v>
      </c>
      <c r="BN6" s="73" t="str">
        <f t="shared" ca="1" si="21"/>
        <v>m</v>
      </c>
      <c r="BO6" s="73" t="str">
        <f t="shared" ca="1" si="21"/>
        <v>m</v>
      </c>
      <c r="BP6" s="73" t="str">
        <f t="shared" ca="1" si="21"/>
        <v>j</v>
      </c>
      <c r="BQ6" s="73" t="str">
        <f t="shared" ca="1" si="21"/>
        <v>v</v>
      </c>
      <c r="BR6" s="73" t="str">
        <f t="shared" ca="1" si="21"/>
        <v>s</v>
      </c>
      <c r="BS6" s="73" t="str">
        <f t="shared" ca="1" si="21"/>
        <v>d</v>
      </c>
      <c r="BT6" s="73" t="str">
        <f t="shared" ref="BT6:BZ6" ca="1" si="22">LEFT(TEXT(BT5,"ddd"),1)</f>
        <v>l</v>
      </c>
      <c r="BU6" s="73" t="str">
        <f t="shared" ca="1" si="22"/>
        <v>m</v>
      </c>
      <c r="BV6" s="73" t="str">
        <f t="shared" ca="1" si="22"/>
        <v>m</v>
      </c>
      <c r="BW6" s="73" t="str">
        <f t="shared" ca="1" si="22"/>
        <v>j</v>
      </c>
      <c r="BX6" s="73" t="str">
        <f t="shared" ca="1" si="22"/>
        <v>v</v>
      </c>
      <c r="BY6" s="73" t="str">
        <f t="shared" ca="1" si="22"/>
        <v>s</v>
      </c>
      <c r="BZ6" s="73" t="str">
        <f t="shared" ca="1" si="22"/>
        <v>d</v>
      </c>
      <c r="CA6" s="73" t="str">
        <f t="shared" ref="CA6:CG6" ca="1" si="23">LEFT(TEXT(CA5,"ddd"),1)</f>
        <v>l</v>
      </c>
      <c r="CB6" s="73" t="str">
        <f t="shared" ca="1" si="23"/>
        <v>m</v>
      </c>
      <c r="CC6" s="73" t="str">
        <f t="shared" ca="1" si="23"/>
        <v>m</v>
      </c>
      <c r="CD6" s="73" t="str">
        <f t="shared" ca="1" si="23"/>
        <v>j</v>
      </c>
      <c r="CE6" s="73" t="str">
        <f t="shared" ca="1" si="23"/>
        <v>v</v>
      </c>
      <c r="CF6" s="73" t="str">
        <f t="shared" ca="1" si="23"/>
        <v>s</v>
      </c>
      <c r="CG6" s="73" t="str">
        <f t="shared" ca="1" si="23"/>
        <v>d</v>
      </c>
    </row>
    <row r="7" spans="1:85" ht="30" hidden="1" customHeight="1" thickBot="1" x14ac:dyDescent="0.3">
      <c r="A7" s="32" t="s">
        <v>6</v>
      </c>
      <c r="C7" s="36"/>
      <c r="E7"/>
      <c r="H7" t="str">
        <f>IF(OR(ISBLANK(Fecha_incio),ISBLANK(Fecha_final)),"",Fecha_final-Fecha_incio+1)</f>
        <v/>
      </c>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c r="BM7" s="28"/>
      <c r="BN7" s="28"/>
      <c r="BO7" s="28"/>
      <c r="BP7" s="28"/>
      <c r="BQ7" s="28"/>
      <c r="BR7" s="28"/>
      <c r="BS7" s="28"/>
      <c r="BT7" s="28"/>
      <c r="BU7" s="28"/>
      <c r="BV7" s="28"/>
      <c r="BW7" s="28"/>
      <c r="BX7" s="28"/>
      <c r="BY7" s="28"/>
      <c r="BZ7" s="28"/>
      <c r="CA7" s="28"/>
      <c r="CB7" s="28"/>
      <c r="CC7" s="28"/>
      <c r="CD7" s="28"/>
      <c r="CE7" s="28"/>
      <c r="CF7" s="28"/>
      <c r="CG7" s="28"/>
    </row>
    <row r="8" spans="1:85" s="3" customFormat="1" ht="30" customHeight="1" thickBot="1" x14ac:dyDescent="0.3">
      <c r="A8" s="33" t="s">
        <v>7</v>
      </c>
      <c r="B8" s="12" t="s">
        <v>27</v>
      </c>
      <c r="C8" s="40"/>
      <c r="D8" s="13"/>
      <c r="E8" s="54"/>
      <c r="F8" s="55"/>
      <c r="G8" s="11"/>
      <c r="H8" s="11" t="str">
        <f t="shared" ref="H8:H48" si="24">IF(OR(ISBLANK(Fecha_incio),ISBLANK(Fecha_final)),"",Fecha_final-Fecha_incio+1)</f>
        <v/>
      </c>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c r="CD8" s="28"/>
      <c r="CE8" s="28"/>
      <c r="CF8" s="28"/>
      <c r="CG8" s="28"/>
    </row>
    <row r="9" spans="1:85" s="3" customFormat="1" ht="30" customHeight="1" thickBot="1" x14ac:dyDescent="0.3">
      <c r="A9" s="33" t="s">
        <v>8</v>
      </c>
      <c r="B9" s="49" t="s">
        <v>28</v>
      </c>
      <c r="C9" s="41" t="s">
        <v>19</v>
      </c>
      <c r="D9" s="14">
        <v>1</v>
      </c>
      <c r="E9" s="56">
        <v>45929</v>
      </c>
      <c r="F9" s="56">
        <v>45931</v>
      </c>
      <c r="G9" s="11"/>
      <c r="H9" s="11">
        <f t="shared" si="24"/>
        <v>3</v>
      </c>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c r="BT9" s="28"/>
      <c r="BU9" s="28"/>
      <c r="BV9" s="28"/>
      <c r="BW9" s="28"/>
      <c r="BX9" s="28"/>
      <c r="BY9" s="28"/>
      <c r="BZ9" s="28"/>
      <c r="CA9" s="28"/>
      <c r="CB9" s="28"/>
      <c r="CC9" s="28"/>
      <c r="CD9" s="28"/>
      <c r="CE9" s="28"/>
      <c r="CF9" s="28"/>
      <c r="CG9" s="28"/>
    </row>
    <row r="10" spans="1:85" s="3" customFormat="1" ht="30" customHeight="1" thickBot="1" x14ac:dyDescent="0.3">
      <c r="A10" s="33" t="s">
        <v>9</v>
      </c>
      <c r="B10" s="49" t="s">
        <v>29</v>
      </c>
      <c r="C10" s="41"/>
      <c r="D10" s="14">
        <v>1</v>
      </c>
      <c r="E10" s="56">
        <v>45932</v>
      </c>
      <c r="F10" s="56">
        <f>E10+2</f>
        <v>45934</v>
      </c>
      <c r="G10" s="11"/>
      <c r="H10" s="11">
        <f t="shared" si="24"/>
        <v>3</v>
      </c>
      <c r="I10" s="28"/>
      <c r="J10" s="28"/>
      <c r="K10" s="28"/>
      <c r="L10" s="28"/>
      <c r="M10" s="28"/>
      <c r="N10" s="28"/>
      <c r="O10" s="28"/>
      <c r="P10" s="28"/>
      <c r="Q10" s="28"/>
      <c r="R10" s="28"/>
      <c r="S10" s="28"/>
      <c r="T10" s="28"/>
      <c r="U10" s="29"/>
      <c r="V10" s="29"/>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row>
    <row r="11" spans="1:85" s="3" customFormat="1" ht="30" customHeight="1" thickBot="1" x14ac:dyDescent="0.3">
      <c r="A11" s="33" t="s">
        <v>10</v>
      </c>
      <c r="B11" s="15" t="s">
        <v>30</v>
      </c>
      <c r="C11" s="42"/>
      <c r="D11" s="16"/>
      <c r="E11" s="57"/>
      <c r="F11" s="58"/>
      <c r="G11" s="11"/>
      <c r="H11" s="11" t="str">
        <f t="shared" si="24"/>
        <v/>
      </c>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row>
    <row r="12" spans="1:85" s="3" customFormat="1" ht="30" customHeight="1" thickBot="1" x14ac:dyDescent="0.3">
      <c r="A12" s="33"/>
      <c r="B12" s="50" t="s">
        <v>31</v>
      </c>
      <c r="C12" s="43"/>
      <c r="D12" s="17">
        <v>1</v>
      </c>
      <c r="E12" s="59">
        <v>45934</v>
      </c>
      <c r="F12" s="59">
        <v>45936</v>
      </c>
      <c r="G12" s="11"/>
      <c r="H12" s="11">
        <f t="shared" si="24"/>
        <v>3</v>
      </c>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row>
    <row r="13" spans="1:85" s="3" customFormat="1" ht="30" customHeight="1" thickBot="1" x14ac:dyDescent="0.3">
      <c r="A13" s="33"/>
      <c r="B13" s="50" t="s">
        <v>32</v>
      </c>
      <c r="C13" s="43"/>
      <c r="D13" s="17">
        <v>1</v>
      </c>
      <c r="E13" s="59">
        <v>45937</v>
      </c>
      <c r="F13" s="59">
        <v>45938</v>
      </c>
      <c r="G13" s="11"/>
      <c r="H13" s="11"/>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row>
    <row r="14" spans="1:85" s="3" customFormat="1" ht="30" customHeight="1" thickBot="1" x14ac:dyDescent="0.3">
      <c r="A14" s="32"/>
      <c r="B14" s="50" t="s">
        <v>33</v>
      </c>
      <c r="C14" s="43"/>
      <c r="D14" s="17">
        <v>1</v>
      </c>
      <c r="E14" s="59">
        <v>45939</v>
      </c>
      <c r="F14" s="59">
        <v>45939</v>
      </c>
      <c r="G14" s="11"/>
      <c r="H14" s="11">
        <f t="shared" si="24"/>
        <v>1</v>
      </c>
      <c r="I14" s="28"/>
      <c r="J14" s="28"/>
      <c r="K14" s="28"/>
      <c r="L14" s="28"/>
      <c r="M14" s="28"/>
      <c r="N14" s="28"/>
      <c r="O14" s="28"/>
      <c r="P14" s="28"/>
      <c r="Q14" s="28"/>
      <c r="R14" s="28"/>
      <c r="S14" s="28"/>
      <c r="T14" s="28"/>
      <c r="U14" s="29"/>
      <c r="V14" s="29"/>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row>
    <row r="15" spans="1:85" s="3" customFormat="1" ht="30" customHeight="1" thickBot="1" x14ac:dyDescent="0.3">
      <c r="A15" s="32" t="s">
        <v>11</v>
      </c>
      <c r="B15" s="18" t="s">
        <v>34</v>
      </c>
      <c r="C15" s="44"/>
      <c r="D15" s="19"/>
      <c r="E15" s="60"/>
      <c r="F15" s="61"/>
      <c r="G15" s="11"/>
      <c r="H15" s="11" t="str">
        <f t="shared" si="24"/>
        <v/>
      </c>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row>
    <row r="16" spans="1:85" s="3" customFormat="1" ht="30" customHeight="1" thickBot="1" x14ac:dyDescent="0.3">
      <c r="A16" s="32"/>
      <c r="B16" s="51" t="s">
        <v>35</v>
      </c>
      <c r="C16" s="45"/>
      <c r="D16" s="20">
        <v>1</v>
      </c>
      <c r="E16" s="62">
        <v>45940</v>
      </c>
      <c r="F16" s="62">
        <v>45943</v>
      </c>
      <c r="G16" s="11"/>
      <c r="H16" s="11">
        <f t="shared" si="24"/>
        <v>4</v>
      </c>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row>
    <row r="17" spans="1:85" s="3" customFormat="1" ht="30" customHeight="1" thickBot="1" x14ac:dyDescent="0.3">
      <c r="A17" s="32"/>
      <c r="B17" s="51" t="s">
        <v>36</v>
      </c>
      <c r="C17" s="45"/>
      <c r="D17" s="20">
        <v>1</v>
      </c>
      <c r="E17" s="62">
        <f>F16+1</f>
        <v>45944</v>
      </c>
      <c r="F17" s="62">
        <v>45945</v>
      </c>
      <c r="G17" s="11"/>
      <c r="H17" s="11">
        <f t="shared" si="24"/>
        <v>2</v>
      </c>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row>
    <row r="18" spans="1:85" s="3" customFormat="1" ht="30" customHeight="1" thickBot="1" x14ac:dyDescent="0.3">
      <c r="A18" s="32"/>
      <c r="B18" s="51" t="s">
        <v>37</v>
      </c>
      <c r="C18" s="45"/>
      <c r="D18" s="20">
        <v>1</v>
      </c>
      <c r="E18" s="62">
        <v>45946</v>
      </c>
      <c r="F18" s="62">
        <v>45948</v>
      </c>
      <c r="G18" s="11"/>
      <c r="H18" s="11">
        <f t="shared" si="24"/>
        <v>3</v>
      </c>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row>
    <row r="19" spans="1:85" s="3" customFormat="1" ht="30" customHeight="1" thickBot="1" x14ac:dyDescent="0.3">
      <c r="A19" s="32"/>
      <c r="B19" s="51" t="s">
        <v>38</v>
      </c>
      <c r="C19" s="45"/>
      <c r="D19" s="81"/>
      <c r="E19" s="62"/>
      <c r="F19" s="62"/>
      <c r="G19" s="11"/>
      <c r="H19" s="11" t="str">
        <f t="shared" si="24"/>
        <v/>
      </c>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row>
    <row r="20" spans="1:85" s="3" customFormat="1" ht="30" customHeight="1" thickBot="1" x14ac:dyDescent="0.3">
      <c r="A20" s="32" t="s">
        <v>11</v>
      </c>
      <c r="B20" s="21" t="s">
        <v>39</v>
      </c>
      <c r="C20" s="46"/>
      <c r="D20" s="22"/>
      <c r="E20" s="63"/>
      <c r="F20" s="64"/>
      <c r="G20" s="11"/>
      <c r="H20" s="11" t="str">
        <f t="shared" si="24"/>
        <v/>
      </c>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row>
    <row r="21" spans="1:85" s="3" customFormat="1" ht="30" customHeight="1" thickBot="1" x14ac:dyDescent="0.3">
      <c r="A21" s="32"/>
      <c r="B21" s="52" t="s">
        <v>40</v>
      </c>
      <c r="C21" s="47"/>
      <c r="D21" s="23">
        <v>1</v>
      </c>
      <c r="E21" s="65">
        <v>45950</v>
      </c>
      <c r="F21" s="65">
        <v>45954</v>
      </c>
      <c r="G21" s="11"/>
      <c r="H21" s="11">
        <f t="shared" si="24"/>
        <v>5</v>
      </c>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row>
    <row r="22" spans="1:85" s="3" customFormat="1" ht="30" customHeight="1" thickBot="1" x14ac:dyDescent="0.3">
      <c r="A22" s="32"/>
      <c r="B22" s="52" t="s">
        <v>41</v>
      </c>
      <c r="C22" s="47"/>
      <c r="D22" s="23">
        <v>1</v>
      </c>
      <c r="E22" s="65">
        <v>45955</v>
      </c>
      <c r="F22" s="65">
        <v>45961</v>
      </c>
      <c r="G22" s="11"/>
      <c r="H22" s="11">
        <f t="shared" si="24"/>
        <v>7</v>
      </c>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row>
    <row r="23" spans="1:85" s="3" customFormat="1" ht="30" customHeight="1" thickBot="1" x14ac:dyDescent="0.3">
      <c r="A23" s="32"/>
      <c r="B23" s="52" t="s">
        <v>42</v>
      </c>
      <c r="C23" s="47"/>
      <c r="D23" s="23">
        <v>1</v>
      </c>
      <c r="E23" s="65">
        <v>45955</v>
      </c>
      <c r="F23" s="65">
        <v>45961</v>
      </c>
      <c r="G23" s="11"/>
      <c r="H23" s="11">
        <f t="shared" si="24"/>
        <v>7</v>
      </c>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row>
    <row r="24" spans="1:85" s="3" customFormat="1" ht="30" customHeight="1" thickBot="1" x14ac:dyDescent="0.3">
      <c r="A24" s="32"/>
      <c r="B24" s="52" t="s">
        <v>43</v>
      </c>
      <c r="C24" s="47"/>
      <c r="D24" s="23"/>
      <c r="E24" s="65" t="s">
        <v>22</v>
      </c>
      <c r="F24" s="65" t="s">
        <v>22</v>
      </c>
      <c r="G24" s="11"/>
      <c r="H24" s="11" t="e">
        <f t="shared" si="24"/>
        <v>#VALUE!</v>
      </c>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row>
    <row r="25" spans="1:85" s="3" customFormat="1" ht="30" customHeight="1" thickBot="1" x14ac:dyDescent="0.3">
      <c r="A25" s="32"/>
      <c r="B25" s="82" t="s">
        <v>44</v>
      </c>
      <c r="C25" s="83"/>
      <c r="D25" s="84"/>
      <c r="E25" s="85"/>
      <c r="F25" s="86"/>
      <c r="G25" s="11"/>
      <c r="H25" s="11"/>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row>
    <row r="26" spans="1:85" s="3" customFormat="1" ht="30" customHeight="1" thickBot="1" x14ac:dyDescent="0.3">
      <c r="A26" s="32"/>
      <c r="B26" s="77" t="s">
        <v>45</v>
      </c>
      <c r="C26" s="78"/>
      <c r="D26" s="79">
        <v>1</v>
      </c>
      <c r="E26" s="80">
        <v>45962</v>
      </c>
      <c r="F26" s="80">
        <v>45967</v>
      </c>
      <c r="G26" s="11"/>
      <c r="H26" s="11"/>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row>
    <row r="27" spans="1:85" s="3" customFormat="1" ht="30" customHeight="1" thickBot="1" x14ac:dyDescent="0.3">
      <c r="A27" s="32"/>
      <c r="B27" s="77" t="s">
        <v>46</v>
      </c>
      <c r="C27" s="78"/>
      <c r="D27" s="79">
        <v>1</v>
      </c>
      <c r="E27" s="80">
        <v>45968</v>
      </c>
      <c r="F27" s="80">
        <v>45971</v>
      </c>
      <c r="G27" s="11"/>
      <c r="H27" s="11"/>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c r="AZ27" s="28"/>
      <c r="BA27" s="28"/>
      <c r="BB27" s="28"/>
      <c r="BC27" s="28"/>
      <c r="BD27" s="28"/>
      <c r="BE27" s="28"/>
      <c r="BF27" s="28"/>
      <c r="BG27" s="28"/>
      <c r="BH27" s="28"/>
      <c r="BI27" s="28"/>
      <c r="BJ27" s="28"/>
      <c r="BK27" s="28"/>
      <c r="BL27" s="28"/>
      <c r="BM27" s="28"/>
      <c r="BN27" s="28"/>
      <c r="BO27" s="28"/>
      <c r="BP27" s="28"/>
      <c r="BQ27" s="28"/>
      <c r="BR27" s="28"/>
      <c r="BS27" s="28"/>
      <c r="BT27" s="28"/>
      <c r="BU27" s="28"/>
      <c r="BV27" s="28"/>
      <c r="BW27" s="28"/>
      <c r="BX27" s="28"/>
      <c r="BY27" s="28"/>
      <c r="BZ27" s="28"/>
      <c r="CA27" s="28"/>
      <c r="CB27" s="28"/>
      <c r="CC27" s="28"/>
      <c r="CD27" s="28"/>
      <c r="CE27" s="28"/>
      <c r="CF27" s="28"/>
      <c r="CG27" s="28"/>
    </row>
    <row r="28" spans="1:85" s="3" customFormat="1" ht="30" customHeight="1" thickBot="1" x14ac:dyDescent="0.3">
      <c r="A28" s="32"/>
      <c r="B28" s="77" t="s">
        <v>47</v>
      </c>
      <c r="C28" s="78"/>
      <c r="D28" s="79">
        <v>1</v>
      </c>
      <c r="E28" s="80" t="s">
        <v>22</v>
      </c>
      <c r="F28" s="80" t="s">
        <v>22</v>
      </c>
      <c r="G28" s="11"/>
      <c r="H28" s="11"/>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c r="AY28" s="28"/>
      <c r="AZ28" s="28"/>
      <c r="BA28" s="28"/>
      <c r="BB28" s="28"/>
      <c r="BC28" s="28"/>
      <c r="BD28" s="28"/>
      <c r="BE28" s="28"/>
      <c r="BF28" s="28"/>
      <c r="BG28" s="28"/>
      <c r="BH28" s="28"/>
      <c r="BI28" s="28"/>
      <c r="BJ28" s="28"/>
      <c r="BK28" s="28"/>
      <c r="BL28" s="28"/>
      <c r="BM28" s="28"/>
      <c r="BN28" s="28"/>
      <c r="BO28" s="28"/>
      <c r="BP28" s="28"/>
      <c r="BQ28" s="28"/>
      <c r="BR28" s="28"/>
      <c r="BS28" s="28"/>
      <c r="BT28" s="28"/>
      <c r="BU28" s="28"/>
      <c r="BV28" s="28"/>
      <c r="BW28" s="28"/>
      <c r="BX28" s="28"/>
      <c r="BY28" s="28"/>
      <c r="BZ28" s="28"/>
      <c r="CA28" s="28"/>
      <c r="CB28" s="28"/>
      <c r="CC28" s="28"/>
      <c r="CD28" s="28"/>
      <c r="CE28" s="28"/>
      <c r="CF28" s="28"/>
      <c r="CG28" s="28"/>
    </row>
    <row r="29" spans="1:85" s="3" customFormat="1" ht="30" customHeight="1" thickBot="1" x14ac:dyDescent="0.3">
      <c r="A29" s="32"/>
      <c r="B29" s="91" t="s">
        <v>48</v>
      </c>
      <c r="C29" s="92"/>
      <c r="D29" s="93"/>
      <c r="E29" s="94"/>
      <c r="F29" s="95"/>
      <c r="G29" s="11"/>
      <c r="H29" s="11"/>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28"/>
      <c r="BA29" s="28"/>
      <c r="BB29" s="28"/>
      <c r="BC29" s="28"/>
      <c r="BD29" s="28"/>
      <c r="BE29" s="28"/>
      <c r="BF29" s="28"/>
      <c r="BG29" s="28"/>
      <c r="BH29" s="28"/>
      <c r="BI29" s="28"/>
      <c r="BJ29" s="28"/>
      <c r="BK29" s="28"/>
      <c r="BL29" s="28"/>
      <c r="BM29" s="28"/>
      <c r="BN29" s="28"/>
      <c r="BO29" s="28"/>
      <c r="BP29" s="28"/>
      <c r="BQ29" s="28"/>
      <c r="BR29" s="28"/>
      <c r="BS29" s="28"/>
      <c r="BT29" s="28"/>
      <c r="BU29" s="28"/>
      <c r="BV29" s="28"/>
      <c r="BW29" s="28"/>
      <c r="BX29" s="28"/>
      <c r="BY29" s="28"/>
      <c r="BZ29" s="28"/>
      <c r="CA29" s="28"/>
      <c r="CB29" s="28"/>
      <c r="CC29" s="28"/>
      <c r="CD29" s="28"/>
      <c r="CE29" s="28"/>
      <c r="CF29" s="28"/>
      <c r="CG29" s="28"/>
    </row>
    <row r="30" spans="1:85" s="3" customFormat="1" ht="30" customHeight="1" thickBot="1" x14ac:dyDescent="0.3">
      <c r="A30" s="32"/>
      <c r="B30" s="87" t="s">
        <v>49</v>
      </c>
      <c r="C30" s="88"/>
      <c r="D30" s="89">
        <v>0.8</v>
      </c>
      <c r="E30" s="90">
        <v>45972</v>
      </c>
      <c r="F30" s="90">
        <v>45975</v>
      </c>
      <c r="G30" s="11"/>
      <c r="H30" s="11"/>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c r="AY30" s="28"/>
      <c r="AZ30" s="28"/>
      <c r="BA30" s="28"/>
      <c r="BB30" s="28"/>
      <c r="BC30" s="28"/>
      <c r="BD30" s="28"/>
      <c r="BE30" s="28"/>
      <c r="BF30" s="28"/>
      <c r="BG30" s="28"/>
      <c r="BH30" s="28"/>
      <c r="BI30" s="28"/>
      <c r="BJ30" s="28"/>
      <c r="BK30" s="28"/>
      <c r="BL30" s="28"/>
      <c r="BM30" s="28"/>
      <c r="BN30" s="28"/>
      <c r="BO30" s="28"/>
      <c r="BP30" s="28"/>
      <c r="BQ30" s="28"/>
      <c r="BR30" s="28"/>
      <c r="BS30" s="28"/>
      <c r="BT30" s="28"/>
      <c r="BU30" s="28"/>
      <c r="BV30" s="28"/>
      <c r="BW30" s="28"/>
      <c r="BX30" s="28"/>
      <c r="BY30" s="28"/>
      <c r="BZ30" s="28"/>
      <c r="CA30" s="28"/>
      <c r="CB30" s="28"/>
      <c r="CC30" s="28"/>
      <c r="CD30" s="28"/>
      <c r="CE30" s="28"/>
      <c r="CF30" s="28"/>
      <c r="CG30" s="28"/>
    </row>
    <row r="31" spans="1:85" s="3" customFormat="1" ht="30" customHeight="1" thickBot="1" x14ac:dyDescent="0.3">
      <c r="A31" s="32"/>
      <c r="B31" s="87" t="s">
        <v>50</v>
      </c>
      <c r="C31" s="88"/>
      <c r="D31" s="89"/>
      <c r="E31" s="90" t="s">
        <v>22</v>
      </c>
      <c r="F31" s="90" t="s">
        <v>22</v>
      </c>
      <c r="G31" s="11"/>
      <c r="H31" s="11"/>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c r="AV31" s="28"/>
      <c r="AW31" s="28"/>
      <c r="AX31" s="28"/>
      <c r="AY31" s="28"/>
      <c r="AZ31" s="28"/>
      <c r="BA31" s="28"/>
      <c r="BB31" s="28"/>
      <c r="BC31" s="28"/>
      <c r="BD31" s="28"/>
      <c r="BE31" s="28"/>
      <c r="BF31" s="28"/>
      <c r="BG31" s="28"/>
      <c r="BH31" s="28"/>
      <c r="BI31" s="28"/>
      <c r="BJ31" s="28"/>
      <c r="BK31" s="28"/>
      <c r="BL31" s="28"/>
      <c r="BM31" s="28"/>
      <c r="BN31" s="28"/>
      <c r="BO31" s="28"/>
      <c r="BP31" s="28"/>
      <c r="BQ31" s="28"/>
      <c r="BR31" s="28"/>
      <c r="BS31" s="28"/>
      <c r="BT31" s="28"/>
      <c r="BU31" s="28"/>
      <c r="BV31" s="28"/>
      <c r="BW31" s="28"/>
      <c r="BX31" s="28"/>
      <c r="BY31" s="28"/>
      <c r="BZ31" s="28"/>
      <c r="CA31" s="28"/>
      <c r="CB31" s="28"/>
      <c r="CC31" s="28"/>
      <c r="CD31" s="28"/>
      <c r="CE31" s="28"/>
      <c r="CF31" s="28"/>
      <c r="CG31" s="28"/>
    </row>
    <row r="32" spans="1:85" s="3" customFormat="1" ht="30" customHeight="1" thickBot="1" x14ac:dyDescent="0.3">
      <c r="A32" s="32"/>
      <c r="B32" s="101" t="s">
        <v>51</v>
      </c>
      <c r="C32" s="102"/>
      <c r="D32" s="103"/>
      <c r="E32" s="104"/>
      <c r="F32" s="105"/>
      <c r="G32" s="11"/>
      <c r="H32" s="11"/>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28"/>
      <c r="BK32" s="28"/>
      <c r="BL32" s="28"/>
      <c r="BM32" s="28"/>
      <c r="BN32" s="28"/>
      <c r="BO32" s="28"/>
      <c r="BP32" s="28"/>
      <c r="BQ32" s="28"/>
      <c r="BR32" s="28"/>
      <c r="BS32" s="28"/>
      <c r="BT32" s="28"/>
      <c r="BU32" s="28"/>
      <c r="BV32" s="28"/>
      <c r="BW32" s="28"/>
      <c r="BX32" s="28"/>
      <c r="BY32" s="28"/>
      <c r="BZ32" s="28"/>
      <c r="CA32" s="28"/>
      <c r="CB32" s="28"/>
      <c r="CC32" s="28"/>
      <c r="CD32" s="28"/>
      <c r="CE32" s="28"/>
      <c r="CF32" s="28"/>
      <c r="CG32" s="28"/>
    </row>
    <row r="33" spans="1:85" s="3" customFormat="1" ht="30" customHeight="1" thickBot="1" x14ac:dyDescent="0.3">
      <c r="A33" s="32"/>
      <c r="B33" s="106" t="s">
        <v>52</v>
      </c>
      <c r="C33" s="107"/>
      <c r="D33" s="108">
        <v>1</v>
      </c>
      <c r="E33" s="109">
        <v>45976</v>
      </c>
      <c r="F33" s="109">
        <v>45978</v>
      </c>
      <c r="G33" s="11"/>
      <c r="H33" s="11"/>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8"/>
      <c r="BF33" s="28"/>
      <c r="BG33" s="28"/>
      <c r="BH33" s="28"/>
      <c r="BI33" s="28"/>
      <c r="BJ33" s="28"/>
      <c r="BK33" s="28"/>
      <c r="BL33" s="28"/>
      <c r="BM33" s="28"/>
      <c r="BN33" s="28"/>
      <c r="BO33" s="28"/>
      <c r="BP33" s="28"/>
      <c r="BQ33" s="28"/>
      <c r="BR33" s="28"/>
      <c r="BS33" s="28"/>
      <c r="BT33" s="28"/>
      <c r="BU33" s="28"/>
      <c r="BV33" s="28"/>
      <c r="BW33" s="28"/>
      <c r="BX33" s="28"/>
      <c r="BY33" s="28"/>
      <c r="BZ33" s="28"/>
      <c r="CA33" s="28"/>
      <c r="CB33" s="28"/>
      <c r="CC33" s="28"/>
      <c r="CD33" s="28"/>
      <c r="CE33" s="28"/>
      <c r="CF33" s="28"/>
      <c r="CG33" s="28"/>
    </row>
    <row r="34" spans="1:85" s="3" customFormat="1" ht="30" customHeight="1" thickBot="1" x14ac:dyDescent="0.3">
      <c r="A34" s="32"/>
      <c r="B34" s="112" t="s">
        <v>53</v>
      </c>
      <c r="C34" s="110"/>
      <c r="D34" s="111"/>
      <c r="E34" s="113"/>
      <c r="F34" s="114"/>
      <c r="G34" s="11"/>
      <c r="H34" s="11"/>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8"/>
      <c r="AK34" s="28"/>
      <c r="AL34" s="28"/>
      <c r="AM34" s="28"/>
      <c r="AN34" s="28"/>
      <c r="AO34" s="28"/>
      <c r="AP34" s="28"/>
      <c r="AQ34" s="28"/>
      <c r="AR34" s="28"/>
      <c r="AS34" s="28"/>
      <c r="AT34" s="28"/>
      <c r="AU34" s="28"/>
      <c r="AV34" s="28"/>
      <c r="AW34" s="28"/>
      <c r="AX34" s="28"/>
      <c r="AY34" s="28"/>
      <c r="AZ34" s="28"/>
      <c r="BA34" s="28"/>
      <c r="BB34" s="28"/>
      <c r="BC34" s="28"/>
      <c r="BD34" s="28"/>
      <c r="BE34" s="28"/>
      <c r="BF34" s="28"/>
      <c r="BG34" s="28"/>
      <c r="BH34" s="28"/>
      <c r="BI34" s="28"/>
      <c r="BJ34" s="28"/>
      <c r="BK34" s="28"/>
      <c r="BL34" s="28"/>
      <c r="BM34" s="28"/>
      <c r="BN34" s="28"/>
      <c r="BO34" s="28"/>
      <c r="BP34" s="28"/>
      <c r="BQ34" s="28"/>
      <c r="BR34" s="28"/>
      <c r="BS34" s="28"/>
      <c r="BT34" s="28"/>
      <c r="BU34" s="28"/>
      <c r="BV34" s="28"/>
      <c r="BW34" s="28"/>
      <c r="BX34" s="28"/>
      <c r="BY34" s="28"/>
      <c r="BZ34" s="28"/>
      <c r="CA34" s="28"/>
      <c r="CB34" s="28"/>
      <c r="CC34" s="28"/>
      <c r="CD34" s="28"/>
      <c r="CE34" s="28"/>
      <c r="CF34" s="28"/>
      <c r="CG34" s="28"/>
    </row>
    <row r="35" spans="1:85" s="3" customFormat="1" ht="30" customHeight="1" thickBot="1" x14ac:dyDescent="0.3">
      <c r="A35" s="32"/>
      <c r="B35" s="52" t="s">
        <v>54</v>
      </c>
      <c r="C35" s="47"/>
      <c r="D35" s="23">
        <v>0</v>
      </c>
      <c r="E35" s="65">
        <v>45979</v>
      </c>
      <c r="F35" s="65">
        <v>45980</v>
      </c>
      <c r="G35" s="11"/>
      <c r="H35" s="11"/>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c r="AL35" s="28"/>
      <c r="AM35" s="28"/>
      <c r="AN35" s="28"/>
      <c r="AO35" s="28"/>
      <c r="AP35" s="28"/>
      <c r="AQ35" s="28"/>
      <c r="AR35" s="28"/>
      <c r="AS35" s="28"/>
      <c r="AT35" s="28"/>
      <c r="AU35" s="28"/>
      <c r="AV35" s="28"/>
      <c r="AW35" s="28"/>
      <c r="AX35" s="28"/>
      <c r="AY35" s="28"/>
      <c r="AZ35" s="28"/>
      <c r="BA35" s="28"/>
      <c r="BB35" s="28"/>
      <c r="BC35" s="28"/>
      <c r="BD35" s="28"/>
      <c r="BE35" s="28"/>
      <c r="BF35" s="28"/>
      <c r="BG35" s="28"/>
      <c r="BH35" s="28"/>
      <c r="BI35" s="28"/>
      <c r="BJ35" s="28"/>
      <c r="BK35" s="28"/>
      <c r="BL35" s="28"/>
      <c r="BM35" s="28"/>
      <c r="BN35" s="28"/>
      <c r="BO35" s="28"/>
      <c r="BP35" s="28"/>
      <c r="BQ35" s="28"/>
      <c r="BR35" s="28"/>
      <c r="BS35" s="28"/>
      <c r="BT35" s="28"/>
      <c r="BU35" s="28"/>
      <c r="BV35" s="28"/>
      <c r="BW35" s="28"/>
      <c r="BX35" s="28"/>
      <c r="BY35" s="28"/>
      <c r="BZ35" s="28"/>
      <c r="CA35" s="28"/>
      <c r="CB35" s="28"/>
      <c r="CC35" s="28"/>
      <c r="CD35" s="28"/>
      <c r="CE35" s="28"/>
      <c r="CF35" s="28"/>
      <c r="CG35" s="28"/>
    </row>
    <row r="36" spans="1:85" s="3" customFormat="1" ht="30" customHeight="1" thickBot="1" x14ac:dyDescent="0.3">
      <c r="A36" s="32"/>
      <c r="B36" s="52" t="s">
        <v>55</v>
      </c>
      <c r="C36" s="47"/>
      <c r="D36" s="23"/>
      <c r="E36" s="65"/>
      <c r="F36" s="65"/>
      <c r="G36" s="11"/>
      <c r="H36" s="11"/>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28"/>
      <c r="BJ36" s="28"/>
      <c r="BK36" s="28"/>
      <c r="BL36" s="28"/>
      <c r="BM36" s="28"/>
      <c r="BN36" s="28"/>
      <c r="BO36" s="28"/>
      <c r="BP36" s="28"/>
      <c r="BQ36" s="28"/>
      <c r="BR36" s="28"/>
      <c r="BS36" s="28"/>
      <c r="BT36" s="28"/>
      <c r="BU36" s="28"/>
      <c r="BV36" s="28"/>
      <c r="BW36" s="28"/>
      <c r="BX36" s="28"/>
      <c r="BY36" s="28"/>
      <c r="BZ36" s="28"/>
      <c r="CA36" s="28"/>
      <c r="CB36" s="28"/>
      <c r="CC36" s="28"/>
      <c r="CD36" s="28"/>
      <c r="CE36" s="28"/>
      <c r="CF36" s="28"/>
      <c r="CG36" s="28"/>
    </row>
    <row r="37" spans="1:85" s="3" customFormat="1" ht="30" customHeight="1" thickBot="1" x14ac:dyDescent="0.3">
      <c r="A37" s="32"/>
      <c r="B37" s="52" t="s">
        <v>56</v>
      </c>
      <c r="C37" s="47"/>
      <c r="D37" s="23"/>
      <c r="E37" s="65"/>
      <c r="F37" s="65"/>
      <c r="G37" s="11"/>
      <c r="H37" s="11"/>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c r="AL37" s="28"/>
      <c r="AM37" s="28"/>
      <c r="AN37" s="28"/>
      <c r="AO37" s="28"/>
      <c r="AP37" s="28"/>
      <c r="AQ37" s="28"/>
      <c r="AR37" s="28"/>
      <c r="AS37" s="28"/>
      <c r="AT37" s="28"/>
      <c r="AU37" s="28"/>
      <c r="AV37" s="28"/>
      <c r="AW37" s="28"/>
      <c r="AX37" s="28"/>
      <c r="AY37" s="28"/>
      <c r="AZ37" s="28"/>
      <c r="BA37" s="28"/>
      <c r="BB37" s="28"/>
      <c r="BC37" s="28"/>
      <c r="BD37" s="28"/>
      <c r="BE37" s="28"/>
      <c r="BF37" s="28"/>
      <c r="BG37" s="28"/>
      <c r="BH37" s="28"/>
      <c r="BI37" s="28"/>
      <c r="BJ37" s="28"/>
      <c r="BK37" s="28"/>
      <c r="BL37" s="28"/>
      <c r="BM37" s="28"/>
      <c r="BN37" s="28"/>
      <c r="BO37" s="28"/>
      <c r="BP37" s="28"/>
      <c r="BQ37" s="28"/>
      <c r="BR37" s="28"/>
      <c r="BS37" s="28"/>
      <c r="BT37" s="28"/>
      <c r="BU37" s="28"/>
      <c r="BV37" s="28"/>
      <c r="BW37" s="28"/>
      <c r="BX37" s="28"/>
      <c r="BY37" s="28"/>
      <c r="BZ37" s="28"/>
      <c r="CA37" s="28"/>
      <c r="CB37" s="28"/>
      <c r="CC37" s="28"/>
      <c r="CD37" s="28"/>
      <c r="CE37" s="28"/>
      <c r="CF37" s="28"/>
      <c r="CG37" s="28"/>
    </row>
    <row r="38" spans="1:85" s="3" customFormat="1" ht="30" customHeight="1" thickBot="1" x14ac:dyDescent="0.3">
      <c r="A38" s="32"/>
      <c r="B38" s="115" t="s">
        <v>57</v>
      </c>
      <c r="C38" s="116"/>
      <c r="D38" s="117"/>
      <c r="E38" s="118"/>
      <c r="F38" s="119"/>
      <c r="G38" s="11"/>
      <c r="H38" s="11"/>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c r="AL38" s="28"/>
      <c r="AM38" s="28"/>
      <c r="AN38" s="28"/>
      <c r="AO38" s="28"/>
      <c r="AP38" s="28"/>
      <c r="AQ38" s="28"/>
      <c r="AR38" s="28"/>
      <c r="AS38" s="28"/>
      <c r="AT38" s="28"/>
      <c r="AU38" s="28"/>
      <c r="AV38" s="28"/>
      <c r="AW38" s="28"/>
      <c r="AX38" s="28"/>
      <c r="AY38" s="28"/>
      <c r="AZ38" s="28"/>
      <c r="BA38" s="28"/>
      <c r="BB38" s="28"/>
      <c r="BC38" s="28"/>
      <c r="BD38" s="28"/>
      <c r="BE38" s="28"/>
      <c r="BF38" s="28"/>
      <c r="BG38" s="28"/>
      <c r="BH38" s="28"/>
      <c r="BI38" s="28"/>
      <c r="BJ38" s="28"/>
      <c r="BK38" s="28"/>
      <c r="BL38" s="28"/>
      <c r="BM38" s="28"/>
      <c r="BN38" s="28"/>
      <c r="BO38" s="28"/>
      <c r="BP38" s="28"/>
      <c r="BQ38" s="28"/>
      <c r="BR38" s="28"/>
      <c r="BS38" s="28"/>
      <c r="BT38" s="28"/>
      <c r="BU38" s="28"/>
      <c r="BV38" s="28"/>
      <c r="BW38" s="28"/>
      <c r="BX38" s="28"/>
      <c r="BY38" s="28"/>
      <c r="BZ38" s="28"/>
      <c r="CA38" s="28"/>
      <c r="CB38" s="28"/>
      <c r="CC38" s="28"/>
      <c r="CD38" s="28"/>
      <c r="CE38" s="28"/>
      <c r="CF38" s="28"/>
      <c r="CG38" s="28"/>
    </row>
    <row r="39" spans="1:85" s="3" customFormat="1" ht="30" customHeight="1" thickBot="1" x14ac:dyDescent="0.3">
      <c r="A39" s="32"/>
      <c r="B39" s="120" t="s">
        <v>58</v>
      </c>
      <c r="C39" s="121"/>
      <c r="D39" s="122">
        <v>0</v>
      </c>
      <c r="E39" s="123">
        <v>45981</v>
      </c>
      <c r="F39" s="123">
        <v>45982</v>
      </c>
      <c r="G39" s="11"/>
      <c r="H39" s="11"/>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c r="AL39" s="28"/>
      <c r="AM39" s="28"/>
      <c r="AN39" s="28"/>
      <c r="AO39" s="28"/>
      <c r="AP39" s="28"/>
      <c r="AQ39" s="28"/>
      <c r="AR39" s="28"/>
      <c r="AS39" s="28"/>
      <c r="AT39" s="28"/>
      <c r="AU39" s="28"/>
      <c r="AV39" s="28"/>
      <c r="AW39" s="28"/>
      <c r="AX39" s="28"/>
      <c r="AY39" s="28"/>
      <c r="AZ39" s="28"/>
      <c r="BA39" s="28"/>
      <c r="BB39" s="28"/>
      <c r="BC39" s="28"/>
      <c r="BD39" s="28"/>
      <c r="BE39" s="28"/>
      <c r="BF39" s="28"/>
      <c r="BG39" s="28"/>
      <c r="BH39" s="28"/>
      <c r="BI39" s="28"/>
      <c r="BJ39" s="28"/>
      <c r="BK39" s="28"/>
      <c r="BL39" s="28"/>
      <c r="BM39" s="28"/>
      <c r="BN39" s="28"/>
      <c r="BO39" s="28"/>
      <c r="BP39" s="28"/>
      <c r="BQ39" s="28"/>
      <c r="BR39" s="28"/>
      <c r="BS39" s="28"/>
      <c r="BT39" s="28"/>
      <c r="BU39" s="28"/>
      <c r="BV39" s="28"/>
      <c r="BW39" s="28"/>
      <c r="BX39" s="28"/>
      <c r="BY39" s="28"/>
      <c r="BZ39" s="28"/>
      <c r="CA39" s="28"/>
      <c r="CB39" s="28"/>
      <c r="CC39" s="28"/>
      <c r="CD39" s="28"/>
      <c r="CE39" s="28"/>
      <c r="CF39" s="28"/>
      <c r="CG39" s="28"/>
    </row>
    <row r="40" spans="1:85" s="3" customFormat="1" ht="30" customHeight="1" thickBot="1" x14ac:dyDescent="0.3">
      <c r="A40" s="32"/>
      <c r="B40" s="120" t="s">
        <v>59</v>
      </c>
      <c r="C40" s="121"/>
      <c r="D40" s="122">
        <v>0</v>
      </c>
      <c r="E40" s="123">
        <v>45983</v>
      </c>
      <c r="F40" s="123">
        <v>45985</v>
      </c>
      <c r="G40" s="11"/>
      <c r="H40" s="11"/>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c r="AL40" s="28"/>
      <c r="AM40" s="28"/>
      <c r="AN40" s="28"/>
      <c r="AO40" s="28"/>
      <c r="AP40" s="28"/>
      <c r="AQ40" s="28"/>
      <c r="AR40" s="28"/>
      <c r="AS40" s="28"/>
      <c r="AT40" s="28"/>
      <c r="AU40" s="28"/>
      <c r="AV40" s="28"/>
      <c r="AW40" s="28"/>
      <c r="AX40" s="28"/>
      <c r="AY40" s="28"/>
      <c r="AZ40" s="28"/>
      <c r="BA40" s="28"/>
      <c r="BB40" s="28"/>
      <c r="BC40" s="28"/>
      <c r="BD40" s="28"/>
      <c r="BE40" s="28"/>
      <c r="BF40" s="28"/>
      <c r="BG40" s="28"/>
      <c r="BH40" s="28"/>
      <c r="BI40" s="28"/>
      <c r="BJ40" s="28"/>
      <c r="BK40" s="28"/>
      <c r="BL40" s="28"/>
      <c r="BM40" s="28"/>
      <c r="BN40" s="28"/>
      <c r="BO40" s="28"/>
      <c r="BP40" s="28"/>
      <c r="BQ40" s="28"/>
      <c r="BR40" s="28"/>
      <c r="BS40" s="28"/>
      <c r="BT40" s="28"/>
      <c r="BU40" s="28"/>
      <c r="BV40" s="28"/>
      <c r="BW40" s="28"/>
      <c r="BX40" s="28"/>
      <c r="BY40" s="28"/>
      <c r="BZ40" s="28"/>
      <c r="CA40" s="28"/>
      <c r="CB40" s="28"/>
      <c r="CC40" s="28"/>
      <c r="CD40" s="28"/>
      <c r="CE40" s="28"/>
      <c r="CF40" s="28"/>
      <c r="CG40" s="28"/>
    </row>
    <row r="41" spans="1:85" s="3" customFormat="1" ht="30" customHeight="1" thickBot="1" x14ac:dyDescent="0.3">
      <c r="A41" s="32"/>
      <c r="B41" s="124" t="s">
        <v>60</v>
      </c>
      <c r="C41" s="125"/>
      <c r="D41" s="126"/>
      <c r="E41" s="127"/>
      <c r="F41" s="128"/>
      <c r="G41" s="11"/>
      <c r="H41" s="11"/>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28"/>
      <c r="AI41" s="28"/>
      <c r="AJ41" s="28"/>
      <c r="AK41" s="28"/>
      <c r="AL41" s="28"/>
      <c r="AM41" s="28"/>
      <c r="AN41" s="28"/>
      <c r="AO41" s="28"/>
      <c r="AP41" s="28"/>
      <c r="AQ41" s="28"/>
      <c r="AR41" s="28"/>
      <c r="AS41" s="28"/>
      <c r="AT41" s="28"/>
      <c r="AU41" s="28"/>
      <c r="AV41" s="28"/>
      <c r="AW41" s="28"/>
      <c r="AX41" s="28"/>
      <c r="AY41" s="28"/>
      <c r="AZ41" s="28"/>
      <c r="BA41" s="28"/>
      <c r="BB41" s="28"/>
      <c r="BC41" s="28"/>
      <c r="BD41" s="28"/>
      <c r="BE41" s="28"/>
      <c r="BF41" s="28"/>
      <c r="BG41" s="28"/>
      <c r="BH41" s="28"/>
      <c r="BI41" s="28"/>
      <c r="BJ41" s="28"/>
      <c r="BK41" s="28"/>
      <c r="BL41" s="28"/>
      <c r="BM41" s="28"/>
      <c r="BN41" s="28"/>
      <c r="BO41" s="28"/>
      <c r="BP41" s="28"/>
      <c r="BQ41" s="28"/>
      <c r="BR41" s="28"/>
      <c r="BS41" s="28"/>
      <c r="BT41" s="28"/>
      <c r="BU41" s="28"/>
      <c r="BV41" s="28"/>
      <c r="BW41" s="28"/>
      <c r="BX41" s="28"/>
      <c r="BY41" s="28"/>
      <c r="BZ41" s="28"/>
      <c r="CA41" s="28"/>
      <c r="CB41" s="28"/>
      <c r="CC41" s="28"/>
      <c r="CD41" s="28"/>
      <c r="CE41" s="28"/>
      <c r="CF41" s="28"/>
      <c r="CG41" s="28"/>
    </row>
    <row r="42" spans="1:85" s="3" customFormat="1" ht="30" customHeight="1" thickBot="1" x14ac:dyDescent="0.3">
      <c r="A42" s="32"/>
      <c r="B42" s="51" t="s">
        <v>61</v>
      </c>
      <c r="C42" s="45"/>
      <c r="D42" s="20">
        <v>1</v>
      </c>
      <c r="E42" s="62">
        <v>45986</v>
      </c>
      <c r="F42" s="62">
        <v>45987</v>
      </c>
      <c r="G42" s="11"/>
      <c r="H42" s="11"/>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c r="AH42" s="28"/>
      <c r="AI42" s="28"/>
      <c r="AJ42" s="28"/>
      <c r="AK42" s="28"/>
      <c r="AL42" s="28"/>
      <c r="AM42" s="28"/>
      <c r="AN42" s="28"/>
      <c r="AO42" s="28"/>
      <c r="AP42" s="28"/>
      <c r="AQ42" s="28"/>
      <c r="AR42" s="28"/>
      <c r="AS42" s="28"/>
      <c r="AT42" s="28"/>
      <c r="AU42" s="28"/>
      <c r="AV42" s="28"/>
      <c r="AW42" s="28"/>
      <c r="AX42" s="28"/>
      <c r="AY42" s="28"/>
      <c r="AZ42" s="28"/>
      <c r="BA42" s="28"/>
      <c r="BB42" s="28"/>
      <c r="BC42" s="28"/>
      <c r="BD42" s="28"/>
      <c r="BE42" s="28"/>
      <c r="BF42" s="28"/>
      <c r="BG42" s="28"/>
      <c r="BH42" s="28"/>
      <c r="BI42" s="28"/>
      <c r="BJ42" s="28"/>
      <c r="BK42" s="28"/>
      <c r="BL42" s="28"/>
      <c r="BM42" s="28"/>
      <c r="BN42" s="28"/>
      <c r="BO42" s="28"/>
      <c r="BP42" s="28"/>
      <c r="BQ42" s="28"/>
      <c r="BR42" s="28"/>
      <c r="BS42" s="28"/>
      <c r="BT42" s="28"/>
      <c r="BU42" s="28"/>
      <c r="BV42" s="28"/>
      <c r="BW42" s="28"/>
      <c r="BX42" s="28"/>
      <c r="BY42" s="28"/>
      <c r="BZ42" s="28"/>
      <c r="CA42" s="28"/>
      <c r="CB42" s="28"/>
      <c r="CC42" s="28"/>
      <c r="CD42" s="28"/>
      <c r="CE42" s="28"/>
      <c r="CF42" s="28"/>
      <c r="CG42" s="28"/>
    </row>
    <row r="43" spans="1:85" s="3" customFormat="1" ht="30" customHeight="1" thickBot="1" x14ac:dyDescent="0.3">
      <c r="A43" s="32"/>
      <c r="B43" s="51" t="s">
        <v>62</v>
      </c>
      <c r="C43" s="45"/>
      <c r="D43" s="20">
        <v>1</v>
      </c>
      <c r="E43" s="62"/>
      <c r="F43" s="62"/>
      <c r="G43" s="11"/>
      <c r="H43" s="11"/>
      <c r="I43" s="28"/>
      <c r="J43" s="28"/>
      <c r="K43" s="28"/>
      <c r="L43" s="28"/>
      <c r="M43" s="28"/>
      <c r="N43" s="28"/>
      <c r="O43" s="28"/>
      <c r="P43" s="28"/>
      <c r="Q43" s="28"/>
      <c r="R43" s="28"/>
      <c r="S43" s="28"/>
      <c r="T43" s="28"/>
      <c r="U43" s="28"/>
      <c r="V43" s="28"/>
      <c r="W43" s="28"/>
      <c r="X43" s="28"/>
      <c r="Y43" s="28"/>
      <c r="Z43" s="28"/>
      <c r="AA43" s="28"/>
      <c r="AB43" s="28"/>
      <c r="AC43" s="28"/>
      <c r="AD43" s="28"/>
      <c r="AE43" s="28"/>
      <c r="AF43" s="28"/>
      <c r="AG43" s="28"/>
      <c r="AH43" s="28"/>
      <c r="AI43" s="28"/>
      <c r="AJ43" s="28"/>
      <c r="AK43" s="28"/>
      <c r="AL43" s="28"/>
      <c r="AM43" s="28"/>
      <c r="AN43" s="28"/>
      <c r="AO43" s="28"/>
      <c r="AP43" s="28"/>
      <c r="AQ43" s="28"/>
      <c r="AR43" s="28"/>
      <c r="AS43" s="28"/>
      <c r="AT43" s="28"/>
      <c r="AU43" s="28"/>
      <c r="AV43" s="28"/>
      <c r="AW43" s="28"/>
      <c r="AX43" s="28"/>
      <c r="AY43" s="28"/>
      <c r="AZ43" s="28"/>
      <c r="BA43" s="28"/>
      <c r="BB43" s="28"/>
      <c r="BC43" s="28"/>
      <c r="BD43" s="28"/>
      <c r="BE43" s="28"/>
      <c r="BF43" s="28"/>
      <c r="BG43" s="28"/>
      <c r="BH43" s="28"/>
      <c r="BI43" s="28"/>
      <c r="BJ43" s="28"/>
      <c r="BK43" s="28"/>
      <c r="BL43" s="28"/>
      <c r="BM43" s="28"/>
      <c r="BN43" s="28"/>
      <c r="BO43" s="28"/>
      <c r="BP43" s="28"/>
      <c r="BQ43" s="28"/>
      <c r="BR43" s="28"/>
      <c r="BS43" s="28"/>
      <c r="BT43" s="28"/>
      <c r="BU43" s="28"/>
      <c r="BV43" s="28"/>
      <c r="BW43" s="28"/>
      <c r="BX43" s="28"/>
      <c r="BY43" s="28"/>
      <c r="BZ43" s="28"/>
      <c r="CA43" s="28"/>
      <c r="CB43" s="28"/>
      <c r="CC43" s="28"/>
      <c r="CD43" s="28"/>
      <c r="CE43" s="28"/>
      <c r="CF43" s="28"/>
      <c r="CG43" s="28"/>
    </row>
    <row r="44" spans="1:85" s="3" customFormat="1" ht="30" customHeight="1" thickBot="1" x14ac:dyDescent="0.3">
      <c r="A44" s="32"/>
      <c r="B44" s="96" t="s">
        <v>63</v>
      </c>
      <c r="C44" s="97"/>
      <c r="D44" s="98"/>
      <c r="E44" s="99"/>
      <c r="F44" s="100"/>
      <c r="G44" s="11"/>
      <c r="H44" s="11"/>
      <c r="I44" s="28"/>
      <c r="J44" s="28"/>
      <c r="K44" s="28"/>
      <c r="L44" s="28"/>
      <c r="M44" s="28"/>
      <c r="N44" s="28"/>
      <c r="O44" s="28"/>
      <c r="P44" s="28"/>
      <c r="Q44" s="28"/>
      <c r="R44" s="28"/>
      <c r="S44" s="28"/>
      <c r="T44" s="28"/>
      <c r="U44" s="28"/>
      <c r="V44" s="28"/>
      <c r="W44" s="28"/>
      <c r="X44" s="28"/>
      <c r="Y44" s="28"/>
      <c r="Z44" s="28"/>
      <c r="AA44" s="28"/>
      <c r="AB44" s="28"/>
      <c r="AC44" s="28"/>
      <c r="AD44" s="28"/>
      <c r="AE44" s="28"/>
      <c r="AF44" s="28"/>
      <c r="AG44" s="28"/>
      <c r="AH44" s="28"/>
      <c r="AI44" s="28"/>
      <c r="AJ44" s="28"/>
      <c r="AK44" s="28"/>
      <c r="AL44" s="28"/>
      <c r="AM44" s="28"/>
      <c r="AN44" s="28"/>
      <c r="AO44" s="28"/>
      <c r="AP44" s="28"/>
      <c r="AQ44" s="28"/>
      <c r="AR44" s="28"/>
      <c r="AS44" s="28"/>
      <c r="AT44" s="28"/>
      <c r="AU44" s="28"/>
      <c r="AV44" s="28"/>
      <c r="AW44" s="28"/>
      <c r="AX44" s="28"/>
      <c r="AY44" s="28"/>
      <c r="AZ44" s="28"/>
      <c r="BA44" s="28"/>
      <c r="BB44" s="28"/>
      <c r="BC44" s="28"/>
      <c r="BD44" s="28"/>
      <c r="BE44" s="28"/>
      <c r="BF44" s="28"/>
      <c r="BG44" s="28"/>
      <c r="BH44" s="28"/>
      <c r="BI44" s="28"/>
      <c r="BJ44" s="28"/>
      <c r="BK44" s="28"/>
      <c r="BL44" s="28"/>
      <c r="BM44" s="28"/>
      <c r="BN44" s="28"/>
      <c r="BO44" s="28"/>
      <c r="BP44" s="28"/>
      <c r="BQ44" s="28"/>
      <c r="BR44" s="28"/>
      <c r="BS44" s="28"/>
      <c r="BT44" s="28"/>
      <c r="BU44" s="28"/>
      <c r="BV44" s="28"/>
      <c r="BW44" s="28"/>
      <c r="BX44" s="28"/>
      <c r="BY44" s="28"/>
      <c r="BZ44" s="28"/>
      <c r="CA44" s="28"/>
      <c r="CB44" s="28"/>
      <c r="CC44" s="28"/>
      <c r="CD44" s="28"/>
      <c r="CE44" s="28"/>
      <c r="CF44" s="28"/>
      <c r="CG44" s="28"/>
    </row>
    <row r="45" spans="1:85" s="3" customFormat="1" ht="30" customHeight="1" thickBot="1" x14ac:dyDescent="0.3">
      <c r="A45" s="32"/>
      <c r="B45" s="50" t="s">
        <v>64</v>
      </c>
      <c r="C45" s="43"/>
      <c r="D45" s="17">
        <v>1</v>
      </c>
      <c r="E45" s="59">
        <v>45988</v>
      </c>
      <c r="F45" s="59">
        <v>45988</v>
      </c>
      <c r="G45" s="11"/>
      <c r="H45" s="11"/>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8"/>
      <c r="AH45" s="28"/>
      <c r="AI45" s="28"/>
      <c r="AJ45" s="28"/>
      <c r="AK45" s="28"/>
      <c r="AL45" s="28"/>
      <c r="AM45" s="28"/>
      <c r="AN45" s="28"/>
      <c r="AO45" s="28"/>
      <c r="AP45" s="28"/>
      <c r="AQ45" s="28"/>
      <c r="AR45" s="28"/>
      <c r="AS45" s="28"/>
      <c r="AT45" s="28"/>
      <c r="AU45" s="28"/>
      <c r="AV45" s="28"/>
      <c r="AW45" s="28"/>
      <c r="AX45" s="28"/>
      <c r="AY45" s="28"/>
      <c r="AZ45" s="28"/>
      <c r="BA45" s="28"/>
      <c r="BB45" s="28"/>
      <c r="BC45" s="28"/>
      <c r="BD45" s="28"/>
      <c r="BE45" s="28"/>
      <c r="BF45" s="28"/>
      <c r="BG45" s="28"/>
      <c r="BH45" s="28"/>
      <c r="BI45" s="28"/>
      <c r="BJ45" s="28"/>
      <c r="BK45" s="28"/>
      <c r="BL45" s="28"/>
      <c r="BM45" s="28"/>
      <c r="BN45" s="28"/>
      <c r="BO45" s="28"/>
      <c r="BP45" s="28"/>
      <c r="BQ45" s="28"/>
      <c r="BR45" s="28"/>
      <c r="BS45" s="28"/>
      <c r="BT45" s="28"/>
      <c r="BU45" s="28"/>
      <c r="BV45" s="28"/>
      <c r="BW45" s="28"/>
      <c r="BX45" s="28"/>
      <c r="BY45" s="28"/>
      <c r="BZ45" s="28"/>
      <c r="CA45" s="28"/>
      <c r="CB45" s="28"/>
      <c r="CC45" s="28"/>
      <c r="CD45" s="28"/>
      <c r="CE45" s="28"/>
      <c r="CF45" s="28"/>
      <c r="CG45" s="28"/>
    </row>
    <row r="46" spans="1:85" s="3" customFormat="1" ht="30" customHeight="1" thickBot="1" x14ac:dyDescent="0.3">
      <c r="A46" s="32"/>
      <c r="B46" s="50" t="s">
        <v>65</v>
      </c>
      <c r="C46" s="43"/>
      <c r="D46" s="17">
        <v>1</v>
      </c>
      <c r="E46" s="59">
        <v>45989</v>
      </c>
      <c r="F46" s="59">
        <v>45990</v>
      </c>
      <c r="G46" s="11"/>
      <c r="H46" s="11"/>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c r="AI46" s="28"/>
      <c r="AJ46" s="28"/>
      <c r="AK46" s="28"/>
      <c r="AL46" s="28"/>
      <c r="AM46" s="28"/>
      <c r="AN46" s="28"/>
      <c r="AO46" s="28"/>
      <c r="AP46" s="28"/>
      <c r="AQ46" s="28"/>
      <c r="AR46" s="28"/>
      <c r="AS46" s="28"/>
      <c r="AT46" s="28"/>
      <c r="AU46" s="28"/>
      <c r="AV46" s="28"/>
      <c r="AW46" s="28"/>
      <c r="AX46" s="28"/>
      <c r="AY46" s="28"/>
      <c r="AZ46" s="28"/>
      <c r="BA46" s="28"/>
      <c r="BB46" s="28"/>
      <c r="BC46" s="28"/>
      <c r="BD46" s="28"/>
      <c r="BE46" s="28"/>
      <c r="BF46" s="28"/>
      <c r="BG46" s="28"/>
      <c r="BH46" s="28"/>
      <c r="BI46" s="28"/>
      <c r="BJ46" s="28"/>
      <c r="BK46" s="28"/>
      <c r="BL46" s="28"/>
      <c r="BM46" s="28"/>
      <c r="BN46" s="28"/>
      <c r="BO46" s="28"/>
      <c r="BP46" s="28"/>
      <c r="BQ46" s="28"/>
      <c r="BR46" s="28"/>
      <c r="BS46" s="28"/>
      <c r="BT46" s="28"/>
      <c r="BU46" s="28"/>
      <c r="BV46" s="28"/>
      <c r="BW46" s="28"/>
      <c r="BX46" s="28"/>
      <c r="BY46" s="28"/>
      <c r="BZ46" s="28"/>
      <c r="CA46" s="28"/>
      <c r="CB46" s="28"/>
      <c r="CC46" s="28"/>
      <c r="CD46" s="28"/>
      <c r="CE46" s="28"/>
      <c r="CF46" s="28"/>
      <c r="CG46" s="28"/>
    </row>
    <row r="47" spans="1:85" s="3" customFormat="1" ht="30" customHeight="1" thickBot="1" x14ac:dyDescent="0.3">
      <c r="A47" s="32" t="s">
        <v>12</v>
      </c>
      <c r="B47" s="53"/>
      <c r="C47" s="48"/>
      <c r="D47" s="10"/>
      <c r="E47" s="66"/>
      <c r="F47" s="66"/>
      <c r="G47" s="11"/>
      <c r="H47" s="11" t="str">
        <f t="shared" si="24"/>
        <v/>
      </c>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c r="AI47" s="28"/>
      <c r="AJ47" s="28"/>
      <c r="AK47" s="28"/>
      <c r="AL47" s="28"/>
      <c r="AM47" s="28"/>
      <c r="AN47" s="28"/>
      <c r="AO47" s="28"/>
      <c r="AP47" s="28"/>
      <c r="AQ47" s="28"/>
      <c r="AR47" s="28"/>
      <c r="AS47" s="28"/>
      <c r="AT47" s="28"/>
      <c r="AU47" s="28"/>
      <c r="AV47" s="28"/>
      <c r="AW47" s="28"/>
      <c r="AX47" s="28"/>
      <c r="AY47" s="28"/>
      <c r="AZ47" s="28"/>
      <c r="BA47" s="28"/>
      <c r="BB47" s="28"/>
      <c r="BC47" s="28"/>
      <c r="BD47" s="28"/>
      <c r="BE47" s="28"/>
      <c r="BF47" s="28"/>
      <c r="BG47" s="28"/>
      <c r="BH47" s="28"/>
      <c r="BI47" s="28"/>
      <c r="BJ47" s="28"/>
      <c r="BK47" s="28"/>
      <c r="BL47" s="28"/>
      <c r="BM47" s="28"/>
      <c r="BN47" s="28"/>
      <c r="BO47" s="28"/>
      <c r="BP47" s="28"/>
      <c r="BQ47" s="28"/>
      <c r="BR47" s="28"/>
      <c r="BS47" s="28"/>
      <c r="BT47" s="28"/>
      <c r="BU47" s="28"/>
      <c r="BV47" s="28"/>
      <c r="BW47" s="28"/>
      <c r="BX47" s="28"/>
      <c r="BY47" s="28"/>
      <c r="BZ47" s="28"/>
      <c r="CA47" s="28"/>
      <c r="CB47" s="28"/>
      <c r="CC47" s="28"/>
      <c r="CD47" s="28"/>
      <c r="CE47" s="28"/>
      <c r="CF47" s="28"/>
      <c r="CG47" s="28"/>
    </row>
    <row r="48" spans="1:85" s="3" customFormat="1" ht="30" customHeight="1" thickBot="1" x14ac:dyDescent="0.3">
      <c r="A48" s="33" t="s">
        <v>13</v>
      </c>
      <c r="B48" s="24" t="s">
        <v>15</v>
      </c>
      <c r="C48" s="25"/>
      <c r="D48" s="26"/>
      <c r="E48" s="67"/>
      <c r="F48" s="68"/>
      <c r="G48" s="27"/>
      <c r="H48" s="27" t="str">
        <f t="shared" si="24"/>
        <v/>
      </c>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c r="BB48" s="30"/>
      <c r="BC48" s="30"/>
      <c r="BD48" s="30"/>
      <c r="BE48" s="30"/>
      <c r="BF48" s="30"/>
      <c r="BG48" s="30"/>
      <c r="BH48" s="30"/>
      <c r="BI48" s="30"/>
      <c r="BJ48" s="30"/>
      <c r="BK48" s="30"/>
      <c r="BL48" s="30"/>
      <c r="BM48" s="30"/>
      <c r="BN48" s="30"/>
      <c r="BO48" s="30"/>
      <c r="BP48" s="30"/>
      <c r="BQ48" s="30"/>
      <c r="BR48" s="30"/>
      <c r="BS48" s="30"/>
      <c r="BT48" s="30"/>
      <c r="BU48" s="30"/>
      <c r="BV48" s="30"/>
      <c r="BW48" s="30"/>
      <c r="BX48" s="30"/>
      <c r="BY48" s="30"/>
      <c r="BZ48" s="30"/>
      <c r="CA48" s="30"/>
      <c r="CB48" s="30"/>
      <c r="CC48" s="30"/>
      <c r="CD48" s="30"/>
      <c r="CE48" s="30"/>
      <c r="CF48" s="30"/>
      <c r="CG48" s="30"/>
    </row>
    <row r="49" spans="3:7" ht="30" customHeight="1" x14ac:dyDescent="0.25">
      <c r="G49" s="6"/>
    </row>
    <row r="50" spans="3:7" ht="30" customHeight="1" x14ac:dyDescent="0.25">
      <c r="C50" s="8"/>
      <c r="F50" s="34"/>
    </row>
    <row r="51" spans="3:7" ht="30" customHeight="1" x14ac:dyDescent="0.25">
      <c r="C51" s="9"/>
    </row>
  </sheetData>
  <mergeCells count="15">
    <mergeCell ref="BM4:BS4"/>
    <mergeCell ref="BT4:BZ4"/>
    <mergeCell ref="CA4:CG4"/>
    <mergeCell ref="C3:D3"/>
    <mergeCell ref="C4:D4"/>
    <mergeCell ref="E3:F3"/>
    <mergeCell ref="B5:G5"/>
    <mergeCell ref="AK4:AQ4"/>
    <mergeCell ref="AR4:AX4"/>
    <mergeCell ref="AY4:BE4"/>
    <mergeCell ref="BF4:BL4"/>
    <mergeCell ref="I4:O4"/>
    <mergeCell ref="P4:V4"/>
    <mergeCell ref="W4:AC4"/>
    <mergeCell ref="AD4:AJ4"/>
  </mergeCells>
  <conditionalFormatting sqref="D7:D48">
    <cfRule type="dataBar" priority="23">
      <dataBar>
        <cfvo type="num" val="0"/>
        <cfvo type="num" val="1"/>
        <color rgb="FF00B050"/>
      </dataBar>
      <extLst>
        <ext xmlns:x14="http://schemas.microsoft.com/office/spreadsheetml/2009/9/main" uri="{B025F937-C7B1-47D3-B67F-A62EFF666E3E}">
          <x14:id>{B0389232-4C98-4A03-AD0E-39F63BAD1F53}</x14:id>
        </ext>
      </extLst>
    </cfRule>
  </conditionalFormatting>
  <conditionalFormatting sqref="I5:BK48 BM5:BR48 BT5:BY48 CA5:CF48">
    <cfRule type="expression" dxfId="4" priority="42">
      <formula>AND(TODAY()&gt;=I$5,TODAY()&lt;J$5)</formula>
    </cfRule>
  </conditionalFormatting>
  <conditionalFormatting sqref="I7:BK48 BM7:BR48 BT7:BY48 CA7:CF48">
    <cfRule type="expression" dxfId="3" priority="37" stopIfTrue="1">
      <formula>AND(Fecha_final&gt;=I$5,Fecha_incio&lt;J$5)</formula>
    </cfRule>
  </conditionalFormatting>
  <conditionalFormatting sqref="I7:CG48">
    <cfRule type="expression" dxfId="2" priority="36">
      <formula>AND(Fecha_incio&lt;=I$5,ROUNDDOWN((Fecha_final-Fecha_incio+1)*Progresos,0)+Fecha_incio-1&gt;=I$5)</formula>
    </cfRule>
  </conditionalFormatting>
  <conditionalFormatting sqref="BL5:BL48 BS5:BS48 BZ5:BZ48 CG5:CG48">
    <cfRule type="expression" dxfId="1" priority="44">
      <formula>AND(TODAY()&gt;=BL$5,TODAY()&lt;CH$5)</formula>
    </cfRule>
  </conditionalFormatting>
  <conditionalFormatting sqref="BL7:BL48 BS7:BS48 BZ7:BZ48 CG7:CG48">
    <cfRule type="expression" dxfId="0" priority="48" stopIfTrue="1">
      <formula>AND(Fecha_final&gt;=BL$5,Fecha_incio&lt;CH$5)</formula>
    </cfRule>
  </conditionalFormatting>
  <dataValidations count="1">
    <dataValidation type="whole" operator="greaterThanOrEqual" allowBlank="1" showInputMessage="1" promptTitle="Mostrar semana" prompt="Al cambiar este número, se desplazará la vista del diagrama de Gantt." sqref="E4" xr:uid="{00000000-0002-0000-0000-000000000000}">
      <formula1>1</formula1>
    </dataValidation>
  </dataValidations>
  <printOptions horizontalCentered="1"/>
  <pageMargins left="0.35" right="0.35" top="0.35" bottom="0.5" header="0.3" footer="0.3"/>
  <pageSetup paperSize="9"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D7:D48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4AB0B-136C-4183-8977-E2A2E38BBD97}">
  <sheetPr>
    <tabColor theme="1"/>
  </sheetPr>
  <dimension ref="A1:XFC2"/>
  <sheetViews>
    <sheetView showGridLines="0" workbookViewId="0">
      <selection activeCell="B2" sqref="B2"/>
    </sheetView>
  </sheetViews>
  <sheetFormatPr baseColWidth="10" defaultColWidth="0" defaultRowHeight="14.45" customHeight="1" zeroHeight="1" x14ac:dyDescent="0.25"/>
  <cols>
    <col min="1" max="1" width="3.28515625" style="69" customWidth="1"/>
    <col min="2" max="2" width="88.28515625" style="69" customWidth="1"/>
    <col min="3" max="16381" width="10.7109375" style="69" hidden="1"/>
    <col min="16382" max="16382" width="28.85546875" style="69" hidden="1" customWidth="1"/>
    <col min="16383" max="16383" width="25.140625" style="69" hidden="1" customWidth="1"/>
    <col min="16384" max="16384" width="18.28515625" style="69" hidden="1" customWidth="1"/>
  </cols>
  <sheetData>
    <row r="1" spans="2:2" ht="19.899999999999999" customHeight="1" x14ac:dyDescent="0.25"/>
    <row r="2" spans="2:2" ht="105" customHeight="1" x14ac:dyDescent="0.25">
      <c r="B2" s="70" t="s">
        <v>26</v>
      </c>
    </row>
  </sheetData>
  <pageMargins left="0.7" right="0.7" top="0.75" bottom="0.75" header="0.3" footer="0.3"/>
  <pageSetup orientation="landscape"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6</vt:i4>
      </vt:variant>
    </vt:vector>
  </HeadingPairs>
  <TitlesOfParts>
    <vt:vector size="8" baseType="lpstr">
      <vt:lpstr>calendarioproyecto</vt:lpstr>
      <vt:lpstr>DESCARGA DE RESPONSABILIDAD</vt:lpstr>
      <vt:lpstr>calendarioproyecto!Fecha_final</vt:lpstr>
      <vt:lpstr>calendarioproyecto!Fecha_incio</vt:lpstr>
      <vt:lpstr>InicioDelProyecto</vt:lpstr>
      <vt:lpstr>calendarioproyecto!Progresos</vt:lpstr>
      <vt:lpstr>SemanaParaMostrar</vt:lpstr>
      <vt:lpstr>calendarioproyecto!Títulos_a_imprimir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2019-03-19T17:17:03Z</dcterms:created>
  <dcterms:modified xsi:type="dcterms:W3CDTF">2025-11-21T22:28:22Z</dcterms:modified>
</cp:coreProperties>
</file>